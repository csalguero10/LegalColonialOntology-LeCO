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2eba4d42643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CQ completa" sheetId="1" r:id="Rf1c011069e04430f"/>
    <x:sheet xmlns:r="http://schemas.openxmlformats.org/officeDocument/2006/relationships" name="CQ núcleo" sheetId="2" r:id="Redb6c1ecab82412f"/>
    <x:sheet xmlns:r="http://schemas.openxmlformats.org/officeDocument/2006/relationships" name="Resumen" sheetId="3" r:id="R07b3dca67ae141ea"/>
    <x:sheet xmlns:r="http://schemas.openxmlformats.org/officeDocument/2006/relationships" name="Gaps v0.2" sheetId="4" r:id="R4d1aad0bf68f420c"/>
    <x:sheet xmlns:r="http://schemas.openxmlformats.org/officeDocument/2006/relationships" name="Resolución gaps v0.3" sheetId="5" r:id="Rb575ef0ed168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74E13"/>
      </x:patternFill>
    </x:fill>
    <x:fill>
      <x:patternFill patternType="solid">
        <x:fgColor rgb="FFD9EAF7"/>
      </x:patternFill>
    </x:fill>
    <x:fill>
      <x:patternFill patternType="solid">
        <x:fgColor rgb="FF7F6000"/>
      </x:patternFill>
    </x:fill>
    <x:fill>
      <x:patternFill patternType="solid">
        <x:fgColor rgb="FF274E13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118848be8b46c6" /><Relationship Type="http://schemas.openxmlformats.org/officeDocument/2006/relationships/theme" Target="/xl/theme/theme1.xml" Id="R1350bd377e7749a1" /><Relationship Type="http://schemas.openxmlformats.org/officeDocument/2006/relationships/sharedStrings" Target="/xl/sharedStrings.xml" Id="Redd611a345594a95" /><Relationship Type="http://schemas.openxmlformats.org/officeDocument/2006/relationships/worksheet" Target="/xl/worksheets/sheet1.xml" Id="Rf1c011069e04430f" /><Relationship Type="http://schemas.openxmlformats.org/officeDocument/2006/relationships/worksheet" Target="/xl/worksheets/sheet2.xml" Id="Redb6c1ecab82412f" /><Relationship Type="http://schemas.openxmlformats.org/officeDocument/2006/relationships/worksheet" Target="/xl/worksheets/sheet3.xml" Id="R07b3dca67ae141ea" /><Relationship Type="http://schemas.openxmlformats.org/officeDocument/2006/relationships/worksheet" Target="/xl/worksheets/sheet4.xml" Id="R4d1aad0bf68f420c" /><Relationship Type="http://schemas.openxmlformats.org/officeDocument/2006/relationships/worksheet" Target="/xl/worksheets/sheet5.xml" Id="Rb575ef0ed16846e0" /></Relationships>
</file>

<file path=xl/tables/table1.xml><?xml version="1.0" encoding="utf-8"?>
<x:table xmlns:x="http://schemas.openxmlformats.org/spreadsheetml/2006/main" id="1" name="CQMatrixTable" displayName="CQMatrixTable" ref="A1:J38" headerRowCount="1" totalsRowCount="0" totalsRowShown="0">
  <x:tableColumns count="10">
    <x:tableColumn id="1" name="CQ ID"/>
    <x:tableColumn id="2" name="Bloque"/>
    <x:tableColumn id="3" name="Competency Question"/>
    <x:tableColumn id="4" name="Núcleo"/>
    <x:tableColumn id="5" name="Clases / vocabularios"/>
    <x:tableColumn id="6" name="Propiedades"/>
    <x:tableColumn id="7" name="Patrón de respuesta esperado"/>
    <x:tableColumn id="8" name="Ejemplo del corpus"/>
    <x:tableColumn id="9" name="Cobertura LeCO v0.2"/>
    <x:tableColumn id="10" name="Acción / observ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QCoreTable" displayName="CQCoreTable" ref="A1:J13" headerRowCount="1" totalsRowCount="0" totalsRowShown="0">
  <x:tableColumns count="10">
    <x:tableColumn id="1" name="CQ ID"/>
    <x:tableColumn id="2" name="Bloque"/>
    <x:tableColumn id="3" name="Competency Question"/>
    <x:tableColumn id="4" name="Núcleo"/>
    <x:tableColumn id="5" name="Clases / vocabularios"/>
    <x:tableColumn id="6" name="Propiedades"/>
    <x:tableColumn id="7" name="Patrón de respuesta esperado"/>
    <x:tableColumn id="8" name="Ejemplo del corpus"/>
    <x:tableColumn id="9" name="Cobertura LeCO v0.2"/>
    <x:tableColumn id="10" name="Acción / observa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QGapTable" displayName="CQGapTable" ref="A1:J10" headerRowCount="1" totalsRowCount="0" totalsRowShown="0">
  <x:tableColumns count="10">
    <x:tableColumn id="1" name="CQ ID"/>
    <x:tableColumn id="2" name="Bloque"/>
    <x:tableColumn id="3" name="Competency Question"/>
    <x:tableColumn id="4" name="Núcleo"/>
    <x:tableColumn id="5" name="Clases / vocabularios"/>
    <x:tableColumn id="6" name="Propiedades"/>
    <x:tableColumn id="7" name="Patrón de respuesta esperado"/>
    <x:tableColumn id="8" name="Ejemplo del corpus"/>
    <x:tableColumn id="9" name="Cobertura LeCO v0.2"/>
    <x:tableColumn id="10" name="Acción / obser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49542829334e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e8aa3d99b84a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d448e00c6a4f1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8" hidden="0" customWidth="1"/>
    <x:col min="4" max="4" width="10" hidden="0" customWidth="1"/>
    <x:col min="5" max="5" width="55" hidden="0" customWidth="1"/>
    <x:col min="6" max="6" width="55" hidden="0" customWidth="1"/>
    <x:col min="7" max="7" width="58" hidden="0" customWidth="1"/>
    <x:col min="8" max="8" width="48" hidden="0" customWidth="1"/>
    <x:col min="9" max="9" width="20" hidden="0" customWidth="1"/>
    <x:col min="10" max="10" width="68" hidden="0" customWidth="1"/>
  </x:cols>
  <x:sheetData>
    <x:row r="1">
      <x:c r="A1" s="6" t="str">
        <x:v>CQ ID</x:v>
      </x:c>
      <x:c r="B1" s="6" t="str">
        <x:v>Bloque</x:v>
      </x:c>
      <x:c r="C1" s="6" t="str">
        <x:v>Competency Question</x:v>
      </x:c>
      <x:c r="D1" s="6" t="str">
        <x:v>Núcleo</x:v>
      </x:c>
      <x:c r="E1" s="6" t="str">
        <x:v>Clases / vocabularios</x:v>
      </x:c>
      <x:c r="F1" s="6" t="str">
        <x:v>Propiedades</x:v>
      </x:c>
      <x:c r="G1" s="6" t="str">
        <x:v>Patrón de respuesta esperado</x:v>
      </x:c>
      <x:c r="H1" s="6" t="str">
        <x:v>Ejemplo del corpus</x:v>
      </x:c>
      <x:c r="I1" s="6" t="str">
        <x:v>Cobertura LeCO v0.2</x:v>
      </x:c>
      <x:c r="J1" s="6" t="str">
        <x:v>Acción / observación</x:v>
      </x:c>
    </x:row>
    <x:row r="2">
      <x:c r="A2" s="14" t="str">
        <x:v>CQ01</x:v>
      </x:c>
      <x:c r="B2" s="14" t="str">
        <x:v>Documentos</x:v>
      </x:c>
      <x:c r="C2" s="14" t="str">
        <x:v>¿Qué tipo de documento jurídico es cada registro del corpus?</x:v>
      </x:c>
      <x:c r="D2" s="14" t="str"/>
      <x:c r="E2" s="14" t="str">
        <x:v>leco:LegalDocument; leco:DocumentType</x:v>
      </x:c>
      <x:c r="F2" s="14" t="str">
        <x:v>leco:hasDocumentType</x:v>
      </x:c>
      <x:c r="G2" s="14" t="str">
        <x:v>Documento → hasDocumentType → tipo documental</x:v>
      </x:c>
      <x:c r="H2" s="14" t="str">
        <x:v>Acta de Cabildo → Acta / tipo documental</x:v>
      </x:c>
      <x:c r="I2" s="14" t="str">
        <x:v>Cubierta</x:v>
      </x:c>
      <x:c r="J2" s="14" t="str">
        <x:v>La clase DocumentType permite mantener el tipo como vocabulario controlado.</x:v>
      </x:c>
    </x:row>
    <x:row r="3">
      <x:c r="A3" s="14" t="str">
        <x:v>CQ02</x:v>
      </x:c>
      <x:c r="B3" s="14" t="str">
        <x:v>Documentos</x:v>
      </x:c>
      <x:c r="C3" s="14" t="str">
        <x:v>¿Qué partes o unidades internas contiene un documento y qué función jurídica cumple cada una?</x:v>
      </x:c>
      <x:c r="D3" s="14" t="str"/>
      <x:c r="E3" s="14" t="str">
        <x:v>leco:LegalDocument; leco:LegalDocumentPart</x:v>
      </x:c>
      <x:c r="F3" s="14" t="str">
        <x:v>rico:hasDirectConstituent; rico:isDirectConstituentOf; leco:documentsAct</x:v>
      </x:c>
      <x:c r="G3" s="14" t="str">
        <x:v>Documento → rico:hasDirectConstituent → Parte; Parte → leco:documentsAct → Acto</x:v>
      </x:c>
      <x:c r="H3" s="14" t="str">
        <x:v>Acta → segmento de apelación / segmento de decisión</x:v>
      </x:c>
      <x:c r="I3" s="14" t="str">
        <x:v>Cubierta</x:v>
      </x:c>
      <x:c r="J3" s="14" t="str">
        <x:v>Resuelto reutilizando RiC-O 1.1: hasDirectConstituent es la relación específica Record/RecordPart para constituyentes documentales directos.</x:v>
      </x:c>
    </x:row>
    <x:row r="4">
      <x:c r="A4" s="14" t="str">
        <x:v>CQ03</x:v>
      </x:c>
      <x:c r="B4" s="14" t="str">
        <x:v>Documentos</x:v>
      </x:c>
      <x:c r="C4" s="14" t="str">
        <x:v>¿Qué acto jurisdiccional está documentado o evidenciado por un determinado segmento textual?</x:v>
      </x:c>
      <x:c r="D4" s="14" t="str">
        <x:v>C09</x:v>
      </x:c>
      <x:c r="E4" s="14" t="str">
        <x:v>leco:LegalDocumentPart; leco:JurisdictionalAct</x:v>
      </x:c>
      <x:c r="F4" s="14" t="str">
        <x:v>leco:documentsAct; leco:attestedIn</x:v>
      </x:c>
      <x:c r="G4" s="14" t="str">
        <x:v>Segmento → documentsAct → Acto</x:v>
      </x:c>
      <x:c r="H4" s="14" t="str">
        <x:v>Segmento «compareció... para apelar» → Apelación_1547</x:v>
      </x:c>
      <x:c r="I4" s="14" t="str">
        <x:v>Cubierta</x:v>
      </x:c>
      <x:c r="J4" s="14" t="str">
        <x:v>Es una CQ central para mantener el anclaje textual.</x:v>
      </x:c>
    </x:row>
    <x:row r="5">
      <x:c r="A5" s="14" t="str">
        <x:v>CQ04</x:v>
      </x:c>
      <x:c r="B5" s="14" t="str">
        <x:v>Documentos</x:v>
      </x:c>
      <x:c r="C5" s="14" t="str">
        <x:v>¿Qué documentos expresan, contienen, citan o reproducen una determinada norma o fuente normativa?</x:v>
      </x:c>
      <x:c r="D5" s="14" t="str"/>
      <x:c r="E5" s="14" t="str">
        <x:v>leco:NormativeDocument; leco:NormativeRule</x:v>
      </x:c>
      <x:c r="F5" s="14" t="str">
        <x:v>leco:expressesRule; leco:invokesRule; rico:expressesOrExpressed</x:v>
      </x:c>
      <x:c r="G5" s="14" t="str">
        <x:v>Documento → expressesRule/invokesRule → Regla</x:v>
      </x:c>
      <x:c r="H5" s="14" t="str">
        <x:v>Real Provisión / Cédula → regla expresada; acta → regla invocada</x:v>
      </x:c>
      <x:c r="I5" s="14" t="str">
        <x:v>Cubierta</x:v>
      </x:c>
      <x:c r="J5" s="14" t="str">
        <x:v>Conviene distinguir expresar una regla de invocarla.</x:v>
      </x:c>
    </x:row>
    <x:row r="6">
      <x:c r="A6" s="14" t="str">
        <x:v>CQ05</x:v>
      </x:c>
      <x:c r="B6" s="14" t="str">
        <x:v>Actores y roles</x:v>
      </x:c>
      <x:c r="C6" s="14" t="str">
        <x:v>¿Qué personas aparecen en un documento y en qué actuaciones participan?</x:v>
      </x:c>
      <x:c r="D6" s="14" t="str">
        <x:v>C01</x:v>
      </x:c>
      <x:c r="E6" s="14" t="str">
        <x:v>rico:Person; crm:E21_Person; leco:JurisdictionalAct; leco:Participation</x:v>
      </x:c>
      <x:c r="F6" s="14" t="str">
        <x:v>leco:hasParticipant; leco:hasParticipation; leco:participationActor; leco:participationInAct</x:v>
      </x:c>
      <x:c r="G6" s="14" t="str">
        <x:v>Acto → hasParticipant → Persona; o Participation(actor, act)</x:v>
      </x:c>
      <x:c r="H6" s="14" t="str">
        <x:v>Juan de Pineda participa en Apelación_1547</x:v>
      </x:c>
      <x:c r="I6" s="14" t="str">
        <x:v>Cubierta</x:v>
      </x:c>
      <x:c r="J6" s="14" t="str">
        <x:v>Participation es preferible cuando necesitamos añadir rol.</x:v>
      </x:c>
    </x:row>
    <x:row r="7">
      <x:c r="A7" s="14" t="str">
        <x:v>CQ06</x:v>
      </x:c>
      <x:c r="B7" s="14" t="str">
        <x:v>Actores y roles</x:v>
      </x:c>
      <x:c r="C7" s="14" t="str">
        <x:v>¿Qué oficio ocupa una persona en un momento determinado?</x:v>
      </x:c>
      <x:c r="D7" s="14" t="str">
        <x:v>C02</x:v>
      </x:c>
      <x:c r="E7" s="14" t="str">
        <x:v>rico:Person; leco:Office (rico:Position); rico:PositionHoldingRelation</x:v>
      </x:c>
      <x:c r="F7" s="14" t="str">
        <x:v>rico:occupiesOrOccupied; rico:relationHasSource; rico:relationHasTarget; rico:relationHasDate; leco:holdsOffice</x:v>
      </x:c>
      <x:c r="G7" s="14" t="str">
        <x:v>PositionHoldingRelation → source Persona + target Office/Position + date; leco:holdsOffice como atajo</x:v>
      </x:c>
      <x:c r="H7" s="14" t="str">
        <x:v>Juan de Pineda → Alcalde Ordinario → 1547</x:v>
      </x:c>
      <x:c r="I7" s="14" t="str">
        <x:v>Cubierta</x:v>
      </x:c>
      <x:c r="J7" s="14" t="str">
        <x:v>Resuelto con el patrón n-ario de RiC-O PositionHoldingRelation, que permite temporalizar la ocupación del cargo sin crear OfficeHolding duplicado en LeCO.</x:v>
      </x:c>
    </x:row>
    <x:row r="8">
      <x:c r="A8" s="14" t="str">
        <x:v>CQ07</x:v>
      </x:c>
      <x:c r="B8" s="14" t="str">
        <x:v>Actores y roles</x:v>
      </x:c>
      <x:c r="C8" s="14" t="str">
        <x:v>¿Qué personas desempeñan un determinado oficio en el corpus?</x:v>
      </x:c>
      <x:c r="D8" s="14" t="str"/>
      <x:c r="E8" s="14" t="str">
        <x:v>leco:Office; leco:OfficeType; rico:Person</x:v>
      </x:c>
      <x:c r="F8" s="14" t="str">
        <x:v>leco:holdsOffice; leco:hasOfficeType</x:v>
      </x:c>
      <x:c r="G8" s="14" t="str">
        <x:v>Persona → holdsOffice → Office[type=X]</x:v>
      </x:c>
      <x:c r="H8" s="14" t="str">
        <x:v>Personas que ocuparon Alcalde Ordinario</x:v>
      </x:c>
      <x:c r="I8" s="14" t="str">
        <x:v>Cubierta</x:v>
      </x:c>
      <x:c r="J8" s="14" t="str">
        <x:v>La temporalidad puede añadirse como filtro cuando se implemente OfficeHolding.</x:v>
      </x:c>
    </x:row>
    <x:row r="9">
      <x:c r="A9" s="14" t="str">
        <x:v>CQ08</x:v>
      </x:c>
      <x:c r="B9" s="14" t="str">
        <x:v>Actores y roles</x:v>
      </x:c>
      <x:c r="C9" s="14" t="str">
        <x:v>¿Qué rol procesal desempeña una persona dentro de una actuación específica?</x:v>
      </x:c>
      <x:c r="D9" s="14" t="str">
        <x:v>C03</x:v>
      </x:c>
      <x:c r="E9" s="14" t="str">
        <x:v>leco:Participation; leco:ProceduralRole</x:v>
      </x:c>
      <x:c r="F9" s="14" t="str">
        <x:v>leco:participationActor; leco:participationRole; leco:participationInAct</x:v>
      </x:c>
      <x:c r="G9" s="14" t="str">
        <x:v>Participation → actor + role + act</x:v>
      </x:c>
      <x:c r="H9" s="14" t="str">
        <x:v>Juan de Pineda → Apelante → Apelación_1547</x:v>
      </x:c>
      <x:c r="I9" s="14" t="str">
        <x:v>Cubierta</x:v>
      </x:c>
      <x:c r="J9" s="14" t="str">
        <x:v>Este patrón evita afirmar que una persona posee permanentemente un rol procesal.</x:v>
      </x:c>
    </x:row>
    <x:row r="10">
      <x:c r="A10" s="14" t="str">
        <x:v>CQ09</x:v>
      </x:c>
      <x:c r="B10" s="14" t="str">
        <x:v>Actores y roles</x:v>
      </x:c>
      <x:c r="C10" s="14" t="str">
        <x:v>¿En qué actuaciones una misma persona aparece desempeñando roles procesales diferentes?</x:v>
      </x:c>
      <x:c r="D10" s="14" t="str"/>
      <x:c r="E10" s="14" t="str">
        <x:v>leco:Participation; leco:ProceduralRole</x:v>
      </x:c>
      <x:c r="F10" s="14" t="str">
        <x:v>leco:participationActor; leco:participationRole; leco:participationInAct</x:v>
      </x:c>
      <x:c r="G10" s="14" t="str">
        <x:v>Agrupar Participation por actor y comparar roles/actos</x:v>
      </x:c>
      <x:c r="H10" s="14" t="str">
        <x:v>Una persona puede ser peticionario en un acto y opositor en otro</x:v>
      </x:c>
      <x:c r="I10" s="14" t="str">
        <x:v>Cubierta</x:v>
      </x:c>
      <x:c r="J10" s="14" t="str">
        <x:v>Se resuelve por consulta sobre nodos Participation.</x:v>
      </x:c>
    </x:row>
    <x:row r="11">
      <x:c r="A11" s="14" t="str">
        <x:v>CQ10</x:v>
      </x:c>
      <x:c r="B11" s="14" t="str">
        <x:v>Actores y roles</x:v>
      </x:c>
      <x:c r="C11" s="14" t="str">
        <x:v>¿Qué actores aparecen enfrentados como partes, litigantes, peticionarios u opositores dentro de un mismo procedimiento?</x:v>
      </x:c>
      <x:c r="D11" s="14" t="str"/>
      <x:c r="E11" s="14" t="str">
        <x:v>leco:LegalProceeding; leco:ProceduralAct; leco:Participation; leco:ProceduralRole</x:v>
      </x:c>
      <x:c r="F11" s="14" t="str">
        <x:v>leco:hasProceduralAct; leco:inProceeding; leco:opposesParticipation; leco:participationActor; leco:participationRole</x:v>
      </x:c>
      <x:c r="G11" s="14" t="str">
        <x:v>LegalProceeding → actos; Participation A ↔ opposesParticipation ↔ Participation B; cada participación conserva actor y rol</x:v>
      </x:c>
      <x:c r="H11" s="14" t="str">
        <x:v>Peticionario A frente a opositor B</x:v>
      </x:c>
      <x:c r="I11" s="14" t="str">
        <x:v>Cubierta</x:v>
      </x:c>
      <x:c r="J11" s="14" t="str">
        <x:v>Resuelto añadiendo un contenedor procesal y oposición entre participaciones, no entre personas. Así la oposición permanece contextual al procedimiento.</x:v>
      </x:c>
    </x:row>
    <x:row r="12">
      <x:c r="A12" s="14" t="str">
        <x:v>CQ11</x:v>
      </x:c>
      <x:c r="B12" s="14" t="str">
        <x:v>Instituciones y jurisdicción</x:v>
      </x:c>
      <x:c r="C12" s="14" t="str">
        <x:v>¿Qué instituciones intervienen en una determinada actuación jurídica?</x:v>
      </x:c>
      <x:c r="D12" s="14" t="str">
        <x:v>C04</x:v>
      </x:c>
      <x:c r="E12" s="14" t="str">
        <x:v>rico:CorporateBody; crm:E7_Activity; leco:JurisdictionalAct</x:v>
      </x:c>
      <x:c r="F12" s="14" t="str">
        <x:v>leco:hasParticipant; leco:beforeAuthority; leco:decidedBy</x:v>
      </x:c>
      <x:c r="G12" s="14" t="str">
        <x:v>Acto → hasParticipant/beforeAuthority/decidedBy → institución</x:v>
      </x:c>
      <x:c r="H12" s="14" t="str">
        <x:v>Cabildo y Real Audiencia intervienen en el conflicto de Pineda</x:v>
      </x:c>
      <x:c r="I12" s="14" t="str">
        <x:v>Cubierta</x:v>
      </x:c>
      <x:c r="J12" s="14" t="str">
        <x:v>Se debe distinguir participar, decidir y actuar como autoridad receptora.</x:v>
      </x:c>
    </x:row>
    <x:row r="13">
      <x:c r="A13" s="14" t="str">
        <x:v>CQ12</x:v>
      </x:c>
      <x:c r="B13" s="14" t="str">
        <x:v>Instituciones y jurisdicción</x:v>
      </x:c>
      <x:c r="C13" s="14" t="str">
        <x:v>¿Qué tipo institucional corresponde a cada institución histórica?</x:v>
      </x:c>
      <x:c r="D13" s="14" t="str"/>
      <x:c r="E13" s="14" t="str">
        <x:v>rico:CorporateBody; leco:InstitutionType</x:v>
      </x:c>
      <x:c r="F13" s="14" t="str">
        <x:v>leco:hasInstitutionType</x:v>
      </x:c>
      <x:c r="G13" s="14" t="str">
        <x:v>Institución → hasInstitutionType → Cabildo/Audiencia/etc.</x:v>
      </x:c>
      <x:c r="H13" s="14" t="str">
        <x:v>Cabildo de Tunja → Cabildo</x:v>
      </x:c>
      <x:c r="I13" s="14" t="str">
        <x:v>Cubierta</x:v>
      </x:c>
      <x:c r="J13" s="14" t="str">
        <x:v>Los tipos institucionales permanecen como SKOS.</x:v>
      </x:c>
    </x:row>
    <x:row r="14">
      <x:c r="A14" s="14" t="str">
        <x:v>CQ13</x:v>
      </x:c>
      <x:c r="B14" s="14" t="str">
        <x:v>Instituciones y jurisdicción</x:v>
      </x:c>
      <x:c r="C14" s="14" t="str">
        <x:v>¿Qué institución o autoridad ejerce jurisdicción sobre una actuación, actor o territorio?</x:v>
      </x:c>
      <x:c r="D14" s="14" t="str">
        <x:v>C05</x:v>
      </x:c>
      <x:c r="E14" s="14" t="str">
        <x:v>leco:Jurisdiction; leco:TerritorialJurisdiction; leco:PersonalJurisdiction; leco:SubjectMatterJurisdiction</x:v>
      </x:c>
      <x:c r="F14" s="14" t="str">
        <x:v>leco:exercisesJurisdiction; leco:withinJurisdiction; leco:personalScope; leco:territorialScope; leco:subjectMatterScope</x:v>
      </x:c>
      <x:c r="G14" s="14" t="str">
        <x:v>Autoridad → exercisesJurisdiction → Jurisdiction; Acto → withinJurisdiction → Jurisdiction</x:v>
      </x:c>
      <x:c r="H14" s="14" t="str">
        <x:v>Cabildo → jurisdicción local; Audiencia → jurisdicción de revisión</x:v>
      </x:c>
      <x:c r="I14" s="14" t="str">
        <x:v>Cubierta</x:v>
      </x:c>
      <x:c r="J14" s="14" t="str">
        <x:v>Es una CQ central de cultura jurisdiccional.</x:v>
      </x:c>
    </x:row>
    <x:row r="15">
      <x:c r="A15" s="14" t="str">
        <x:v>CQ14</x:v>
      </x:c>
      <x:c r="B15" s="14" t="str">
        <x:v>Instituciones y jurisdicción</x:v>
      </x:c>
      <x:c r="C15" s="14" t="str">
        <x:v>¿Cuál es el ámbito territorial de una determinada jurisdicción?</x:v>
      </x:c>
      <x:c r="D15" s="14" t="str"/>
      <x:c r="E15" s="14" t="str">
        <x:v>leco:Jurisdiction; leco:TerritorialJurisdiction; crm:E53_Place</x:v>
      </x:c>
      <x:c r="F15" s="14" t="str">
        <x:v>leco:territorialScope</x:v>
      </x:c>
      <x:c r="G15" s="14" t="str">
        <x:v>Jurisdiction → territorialScope → Place</x:v>
      </x:c>
      <x:c r="H15" s="14" t="str">
        <x:v>Jurisdicción del Cabildo → Tunja</x:v>
      </x:c>
      <x:c r="I15" s="14" t="str">
        <x:v>Cubierta</x:v>
      </x:c>
      <x:c r="J15" s="14" t="str">
        <x:v>Lugar y jurisdicción permanecen ontológicamente separados.</x:v>
      </x:c>
    </x:row>
    <x:row r="16">
      <x:c r="A16" s="14" t="str">
        <x:v>CQ15</x:v>
      </x:c>
      <x:c r="B16" s="14" t="str">
        <x:v>Instituciones y jurisdicción</x:v>
      </x:c>
      <x:c r="C16" s="14" t="str">
        <x:v>¿Se superponen distintas jurisdicciones sobre un mismo territorio, actor o materia?</x:v>
      </x:c>
      <x:c r="D16" s="14" t="str"/>
      <x:c r="E16" s="14" t="str">
        <x:v>leco:Jurisdiction; subclases de jurisdicción</x:v>
      </x:c>
      <x:c r="F16" s="14" t="str">
        <x:v>leco:territorialScope; leco:personalScope; leco:subjectMatterScope</x:v>
      </x:c>
      <x:c r="G16" s="14" t="str">
        <x:v>Dos Jurisdiction comparten scope</x:v>
      </x:c>
      <x:c r="H16" s="14" t="str">
        <x:v>Cabildo y Audiencia pueden intervenir sobre territorio/actor/materia relacionados</x:v>
      </x:c>
      <x:c r="I16" s="14" t="str">
        <x:v>Cubierta</x:v>
      </x:c>
      <x:c r="J16" s="14" t="str">
        <x:v>La superposición se detecta por consulta, no necesita una clase nueva.</x:v>
      </x:c>
    </x:row>
    <x:row r="17">
      <x:c r="A17" s="14" t="str">
        <x:v>CQ16</x:v>
      </x:c>
      <x:c r="B17" s="14" t="str">
        <x:v>Instituciones y jurisdicción</x:v>
      </x:c>
      <x:c r="C17" s="14" t="str">
        <x:v>¿Qué decisiones tomadas por una autoridad local son revisadas, apeladas o condicionadas por una autoridad superior?</x:v>
      </x:c>
      <x:c r="D17" s="14" t="str">
        <x:v>C11</x:v>
      </x:c>
      <x:c r="E17" s="14" t="str">
        <x:v>leco:LegalDecision; leco:Appeal</x:v>
      </x:c>
      <x:c r="F17" s="14" t="str">
        <x:v>leco:appealsAgainst; leco:beforeAuthority; leco:decidedBy; leco:withinJurisdiction</x:v>
      </x:c>
      <x:c r="G17" s="14" t="str">
        <x:v>Appeal → appealsAgainst → Decision; Appeal → beforeAuthority → superior</x:v>
      </x:c>
      <x:c r="H17" s="14" t="str">
        <x:v>Sanción del Cabildo → apelada por Pineda → Real Audiencia</x:v>
      </x:c>
      <x:c r="I17" s="14" t="str">
        <x:v>Cubierta</x:v>
      </x:c>
      <x:c r="J17" s="14" t="str">
        <x:v>CQ especialmente representativa del aporte de LeCO.</x:v>
      </x:c>
    </x:row>
    <x:row r="18">
      <x:c r="A18" s="14" t="str">
        <x:v>CQ17</x:v>
      </x:c>
      <x:c r="B18" s="14" t="str">
        <x:v>Actos y procedimientos</x:v>
      </x:c>
      <x:c r="C18" s="14" t="str">
        <x:v>¿Qué actos jurídicos o jurisdiccionales ocurren en cada documento y en qué secuencia?</x:v>
      </x:c>
      <x:c r="D18" s="14" t="str"/>
      <x:c r="E18" s="14" t="str">
        <x:v>leco:LegalProceeding; leco:JurisdictionalAct y subclases</x:v>
      </x:c>
      <x:c r="F18" s="14" t="str">
        <x:v>leco:hasProceduralAct; rico:directlyPrecedesInSequence; rico:precedesInTime</x:v>
      </x:c>
      <x:c r="G18" s="14" t="str">
        <x:v>Procedimiento → actos; Acto A → directlyPrecedesInSequence → Acto B; precedesInTime solo cuando existe precedencia cronológica</x:v>
      </x:c>
      <x:c r="H18" s="14" t="str">
        <x:v>Nombramiento → sanción → apelación → investigación</x:v>
      </x:c>
      <x:c r="I18" s="14" t="str">
        <x:v>Cubierta</x:v>
      </x:c>
      <x:c r="J18" s="14" t="str">
        <x:v>Resuelto reutilizando las relaciones secuenciales de RiC-O. Se distingue orden procesal/documental de precedencia cronológica.</x:v>
      </x:c>
    </x:row>
    <x:row r="19">
      <x:c r="A19" s="14" t="str">
        <x:v>CQ18</x:v>
      </x:c>
      <x:c r="B19" s="14" t="str">
        <x:v>Actos y procedimientos</x:v>
      </x:c>
      <x:c r="C19" s="14" t="str">
        <x:v>¿Qué actor realiza, ordena o recibe cada acto?</x:v>
      </x:c>
      <x:c r="D19" s="14" t="str"/>
      <x:c r="E19" s="14" t="str">
        <x:v>leco:JurisdictionalAct; rico:Agent</x:v>
      </x:c>
      <x:c r="F19" s="14" t="str">
        <x:v>leco:hasParticipant; leco:decidedBy; leco:ordersAct; leco:beforeAuthority</x:v>
      </x:c>
      <x:c r="G19" s="14" t="str">
        <x:v>Acto → carried/decided/ordered/beforeAuthority → Actor</x:v>
      </x:c>
      <x:c r="H19" s="14" t="str">
        <x:v>Cabildo ordena investigación; Audiencia recibe apelación</x:v>
      </x:c>
      <x:c r="I19" s="14" t="str">
        <x:v>Cubierta</x:v>
      </x:c>
      <x:c r="J19" s="14" t="str">
        <x:v>Para «realiza» puede reutilizarse crm:P14_carried_out_by cuando sea apropiado.</x:v>
      </x:c>
    </x:row>
    <x:row r="20">
      <x:c r="A20" s="14" t="str">
        <x:v>CQ19</x:v>
      </x:c>
      <x:c r="B20" s="14" t="str">
        <x:v>Actos y procedimientos</x:v>
      </x:c>
      <x:c r="C20" s="14" t="str">
        <x:v>¿Qué decisión jurídica es objeto de una apelación?</x:v>
      </x:c>
      <x:c r="D20" s="14" t="str">
        <x:v>C06</x:v>
      </x:c>
      <x:c r="E20" s="14" t="str">
        <x:v>leco:Appeal; leco:LegalDecision</x:v>
      </x:c>
      <x:c r="F20" s="14" t="str">
        <x:v>leco:appealsAgainst</x:v>
      </x:c>
      <x:c r="G20" s="14" t="str">
        <x:v>Appeal → appealsAgainst → LegalDecision</x:v>
      </x:c>
      <x:c r="H20" s="14" t="str">
        <x:v>Apelación de Pineda → sanción del Cabildo</x:v>
      </x:c>
      <x:c r="I20" s="14" t="str">
        <x:v>Cubierta</x:v>
      </x:c>
      <x:c r="J20" s="14" t="str">
        <x:v>Patrón simple y bien definido.</x:v>
      </x:c>
    </x:row>
    <x:row r="21">
      <x:c r="A21" s="14" t="str">
        <x:v>CQ20</x:v>
      </x:c>
      <x:c r="B21" s="14" t="str">
        <x:v>Actos y procedimientos</x:v>
      </x:c>
      <x:c r="C21" s="14" t="str">
        <x:v>¿Qué personas son objeto de una sanción, multa, prisión, investigación u otra actuación coercitiva?</x:v>
      </x:c>
      <x:c r="D21" s="14" t="str"/>
      <x:c r="E21" s="14" t="str">
        <x:v>leco:Sanction; leco:Fine; leco:Detention; leco:Investigation; rico:Person</x:v>
      </x:c>
      <x:c r="F21" s="14" t="str">
        <x:v>leco:sanctions; leco:investigates; leco:hasObjectOfAct</x:v>
      </x:c>
      <x:c r="G21" s="14" t="str">
        <x:v>Acto coercitivo → sanctions/investigates/hasObjectOfAct → Persona</x:v>
      </x:c>
      <x:c r="H21" s="14" t="str">
        <x:v>Sanción / investigación → Juan de Pineda</x:v>
      </x:c>
      <x:c r="I21" s="14" t="str">
        <x:v>Cubierta</x:v>
      </x:c>
      <x:c r="J21" s="14" t="str">
        <x:v>hasObjectOfAct funciona como propiedad general para actos no especializados.</x:v>
      </x:c>
    </x:row>
    <x:row r="22">
      <x:c r="A22" s="14" t="str">
        <x:v>CQ21</x:v>
      </x:c>
      <x:c r="B22" s="14" t="str">
        <x:v>Actos y procedimientos</x:v>
      </x:c>
      <x:c r="C22" s="14" t="str">
        <x:v>¿Qué nombramientos, sustituciones o reemplazos se producen y qué personas y oficios están involucrados?</x:v>
      </x:c>
      <x:c r="D22" s="14" t="str"/>
      <x:c r="E22" s="14" t="str">
        <x:v>leco:Appointment; leco:Office; rico:Person</x:v>
      </x:c>
      <x:c r="F22" s="14" t="str">
        <x:v>leco:appointsPerson; leco:appointsToOffice; leco:replacesPerson</x:v>
      </x:c>
      <x:c r="G22" s="14" t="str">
        <x:v>Appointment → appointsPerson → Persona; → appointsToOffice → Office</x:v>
      </x:c>
      <x:c r="H22" s="14" t="str">
        <x:v>Pedro Vasquez es encargado en reemplazo de Juan de Pineda</x:v>
      </x:c>
      <x:c r="I22" s="14" t="str">
        <x:v>Cubierta</x:v>
      </x:c>
      <x:c r="J22" s="14" t="str">
        <x:v>Puede conectarse luego con OfficeHolding temporal.</x:v>
      </x:c>
    </x:row>
    <x:row r="23">
      <x:c r="A23" s="14" t="str">
        <x:v>CQ22</x:v>
      </x:c>
      <x:c r="B23" s="14" t="str">
        <x:v>Actos y procedimientos</x:v>
      </x:c>
      <x:c r="C23" s="14" t="str">
        <x:v>¿Qué actos generan nuevas relaciones jurídicas, beneficios, arreglos o representaciones?</x:v>
      </x:c>
      <x:c r="D23" s="14" t="str"/>
      <x:c r="E23" s="14" t="str">
        <x:v>leco:LegalArrangement; leco:LegalEntitlement; leco:RepresentationRelation; leco:MercedGrant; leco:GrantOfPower</x:v>
      </x:c>
      <x:c r="F23" s="14" t="str">
        <x:v>leco:resultsInLegalArrangement; leco:resultsInEntitlement; leco:createsRepresentation; leco:grantedTo</x:v>
      </x:c>
      <x:c r="G23" s="14" t="str">
        <x:v>Acto → resultsIn/creates → relación o entitlement</x:v>
      </x:c>
      <x:c r="H23" s="14" t="str">
        <x:v>Poder → representación; Merced → beneficio; Repartimiento → arreglo</x:v>
      </x:c>
      <x:c r="I23" s="14" t="str">
        <x:v>Cubierta</x:v>
      </x:c>
      <x:c r="J23" s="14" t="str">
        <x:v>Esta CQ prueba la doble naturaleza de varios términos históricos.</x:v>
      </x:c>
    </x:row>
    <x:row r="24">
      <x:c r="A24" s="14" t="str">
        <x:v>CQ23</x:v>
      </x:c>
      <x:c r="B24" s="14" t="str">
        <x:v>Normas y argumentación</x:v>
      </x:c>
      <x:c r="C24" s="14" t="str">
        <x:v>¿Qué normas, leyes, cédulas, provisiones, ordenanzas, autos u otras fuentes normativas son invocadas en una actuación?</x:v>
      </x:c>
      <x:c r="D24" s="14" t="str">
        <x:v>C07</x:v>
      </x:c>
      <x:c r="E24" s="14" t="str">
        <x:v>leco:NormativeRule; leco:NormativeDocument; leco:JurisdictionalAct</x:v>
      </x:c>
      <x:c r="F24" s="14" t="str">
        <x:v>leco:invokesRule; leco:expressesRule</x:v>
      </x:c>
      <x:c r="G24" s="14" t="str">
        <x:v>Acto → invokesRule → Rule; Documento → expressesRule → Rule</x:v>
      </x:c>
      <x:c r="H24" s="14" t="str">
        <x:v>Acta invoca cédula / real provisión / leyes</x:v>
      </x:c>
      <x:c r="I24" s="14" t="str">
        <x:v>Cubierta</x:v>
      </x:c>
      <x:c r="J24" s="14" t="str">
        <x:v>Separa la regla de su soporte documental.</x:v>
      </x:c>
    </x:row>
    <x:row r="25">
      <x:c r="A25" s="14" t="str">
        <x:v>CQ24</x:v>
      </x:c>
      <x:c r="B25" s="14" t="str">
        <x:v>Normas y argumentación</x:v>
      </x:c>
      <x:c r="C25" s="14" t="str">
        <x:v>¿Qué autoridad produjo una determinada fuente normativa y en qué jurisdicción debía operar?</x:v>
      </x:c>
      <x:c r="D25" s="14" t="str"/>
      <x:c r="E25" s="14" t="str">
        <x:v>leco:NormativeDocument; leco:NormativeRule; rico:Agent; leco:Jurisdiction</x:v>
      </x:c>
      <x:c r="F25" s="14" t="str">
        <x:v>rico:hasCreator; rico:issuedBy; leco:appliesWithinJurisdiction; leco:expressesRule</x:v>
      </x:c>
      <x:c r="G25" s="14" t="str">
        <x:v>Documento normativo → hasCreator → agente; Regla → issuedBy → autoridad; Regla → appliesWithinJurisdiction → jurisdicción</x:v>
      </x:c>
      <x:c r="H25" s="14" t="str">
        <x:v>Cédula → Rey; aplicación en jurisdicción determinada</x:v>
      </x:c>
      <x:c r="I25" s="14" t="str">
        <x:v>Cubierta</x:v>
      </x:c>
      <x:c r="J25" s="14" t="str">
        <x:v>Resuelto distinguiendo creador del documento y emisor de la regla. RiC-O ya define issuedBy para Rule→Agent; LeCO añade el alcance jurisdiccional específico.</x:v>
      </x:c>
    </x:row>
    <x:row r="26">
      <x:c r="A26" s="14" t="str">
        <x:v>CQ25</x:v>
      </x:c>
      <x:c r="B26" s="14" t="str">
        <x:v>Normas y argumentación</x:v>
      </x:c>
      <x:c r="C26" s="14" t="str">
        <x:v>¿Qué fuente normativa es utilizada para justificar una decisión o actuación concreta?</x:v>
      </x:c>
      <x:c r="D26" s="14" t="str">
        <x:v>C12</x:v>
      </x:c>
      <x:c r="E26" s="14" t="str">
        <x:v>leco:LegalArgument; leco:LegalDecision; leco:NormativeRule</x:v>
      </x:c>
      <x:c r="F26" s="14" t="str">
        <x:v>leco:hasLegalArgument; leco:argumentInvokesRule</x:v>
      </x:c>
      <x:c r="G26" s="14" t="str">
        <x:v>Decisión/acto → hasLegalArgument → Argumento → argumentInvokesRule → Regla</x:v>
      </x:c>
      <x:c r="H26" s="14" t="str">
        <x:v>Decisión fundamentada en una cédula o ley</x:v>
      </x:c>
      <x:c r="I26" s="14" t="str">
        <x:v>Cubierta</x:v>
      </x:c>
      <x:c r="J26" s="14" t="str">
        <x:v>Resuelto añadiendo argumentInvokesRule como especialización de invokesRule para preservar que la norma funciona como fundamento argumentativo.</x:v>
      </x:c>
    </x:row>
    <x:row r="27">
      <x:c r="A27" s="14" t="str">
        <x:v>CQ26</x:v>
      </x:c>
      <x:c r="B27" s="14" t="str">
        <x:v>Normas y argumentación</x:v>
      </x:c>
      <x:c r="C27" s="14" t="str">
        <x:v>¿Qué documentos posteriores reutilizan, interpretan o aplican una misma norma?</x:v>
      </x:c>
      <x:c r="D27" s="14" t="str"/>
      <x:c r="E27" s="14" t="str">
        <x:v>leco:NormativeRule; leco:JurisdictionalAct; leco:LegalArgument; leco:LegalDocument</x:v>
      </x:c>
      <x:c r="F27" s="14" t="str">
        <x:v>leco:citesRule; leco:appliesRule; leco:interpretsRule; leco:documentsAct; leco:attestedIn</x:v>
      </x:c>
      <x:c r="G27" s="14" t="str">
        <x:v>Acto/argumento → cita/aplica/interpreta → misma Regla; documento/segmento → documenta o atestigua ese uso</x:v>
      </x:c>
      <x:c r="H27" s="14" t="str">
        <x:v>Actas posteriores invocan una misma cédula</x:v>
      </x:c>
      <x:c r="I27" s="14" t="str">
        <x:v>Cubierta</x:v>
      </x:c>
      <x:c r="J27" s="14" t="str">
        <x:v>Resuelto especializando invokesRule. Esto permite diferenciar reutilización textual, aplicación e interpretación de una misma norma.</x:v>
      </x:c>
    </x:row>
    <x:row r="28">
      <x:c r="A28" s="14" t="str">
        <x:v>CQ27</x:v>
      </x:c>
      <x:c r="B28" s="14" t="str">
        <x:v>Conceptos y categorías</x:v>
      </x:c>
      <x:c r="C28" s="14" t="str">
        <x:v>¿Qué conceptos jurídico-históricos aparecen en un documento?</x:v>
      </x:c>
      <x:c r="D28" s="14" t="str">
        <x:v>C08</x:v>
      </x:c>
      <x:c r="E28" s="14" t="str">
        <x:v>leco:HistoricalLegalConcept; leco:HistoricalConceptUse</x:v>
      </x:c>
      <x:c r="F28" s="14" t="str">
        <x:v>leco:usesHistoricalConcept; leco:conceptUsed; leco:attestedIn</x:v>
      </x:c>
      <x:c r="G28" s="14" t="str">
        <x:v>ConceptUse → conceptUsed → Concept; → attestedIn → Segment/Documento</x:v>
      </x:c>
      <x:c r="H28" s="14" t="str">
        <x:v>Real Servicio aparece en el acta de 1547</x:v>
      </x:c>
      <x:c r="I28" s="14" t="str">
        <x:v>Cubierta</x:v>
      </x:c>
      <x:c r="J28" s="14" t="str">
        <x:v>HistoricalConceptUse permite contextualizar la ocurrencia.</x:v>
      </x:c>
    </x:row>
    <x:row r="29">
      <x:c r="A29" s="14" t="str">
        <x:v>CQ28</x:v>
      </x:c>
      <x:c r="B29" s="14" t="str">
        <x:v>Conceptos y categorías</x:v>
      </x:c>
      <x:c r="C29" s="14" t="str">
        <x:v>¿En qué actos, instituciones, jurisdicciones o contextos aparece un determinado concepto histórico?</x:v>
      </x:c>
      <x:c r="D29" s="14" t="str"/>
      <x:c r="E29" s="14" t="str">
        <x:v>leco:HistoricalConceptUse; leco:HistoricalLegalConcept</x:v>
      </x:c>
      <x:c r="F29" s="14" t="str">
        <x:v>leco:conceptUsed; leco:attestedIn; leco:conceptUseJurisdiction; leco:conceptUseTime</x:v>
      </x:c>
      <x:c r="G29" s="14" t="str">
        <x:v>ConceptUse → Concept + documento + jurisdicción + tiempo</x:v>
      </x:c>
      <x:c r="H29" s="14" t="str">
        <x:v>Real Servicio en actuaciones del Cabildo</x:v>
      </x:c>
      <x:c r="I29" s="14" t="str">
        <x:v>Cubierta</x:v>
      </x:c>
      <x:c r="J29" s="14" t="str">
        <x:v>Puede ampliarse con vínculo explícito ConceptUse → Act si hace falta.</x:v>
      </x:c>
    </x:row>
    <x:row r="30">
      <x:c r="A30" s="14" t="str">
        <x:v>CQ29</x:v>
      </x:c>
      <x:c r="B30" s="14" t="str">
        <x:v>Conceptos y categorías</x:v>
      </x:c>
      <x:c r="C30" s="14" t="str">
        <x:v>¿Cómo cambia el uso o significado de un concepto jurídico-histórico entre periodos o jurisdicciones?</x:v>
      </x:c>
      <x:c r="D30" s="14" t="str"/>
      <x:c r="E30" s="14" t="str">
        <x:v>leco:HistoricalConceptUse; leco:HistoricalLegalConcept</x:v>
      </x:c>
      <x:c r="F30" s="14" t="str">
        <x:v>leco:conceptUseTime; leco:conceptUseJurisdiction; leco:historicalMeaningNote</x:v>
      </x:c>
      <x:c r="G30" s="14" t="str">
        <x:v>Comparar ConceptUse por tiempo/jurisdicción y significado anotado</x:v>
      </x:c>
      <x:c r="H30" s="14" t="str">
        <x:v>Comparar «jurisdicción» o «Real Servicio» entre documentos</x:v>
      </x:c>
      <x:c r="I30" s="14" t="str">
        <x:v>Cubierta</x:v>
      </x:c>
      <x:c r="J30" s="14" t="str">
        <x:v>La ontología soporta la comparación; la respuesta depende de anotación historiográfica.</x:v>
      </x:c>
    </x:row>
    <x:row r="31">
      <x:c r="A31" s="14" t="str">
        <x:v>CQ30</x:v>
      </x:c>
      <x:c r="B31" s="14" t="str">
        <x:v>Conceptos y categorías</x:v>
      </x:c>
      <x:c r="C31" s="14" t="str">
        <x:v>¿Qué categorías jurídico-sociales son atribuidas a personas o colectivos en las fuentes?</x:v>
      </x:c>
      <x:c r="D31" s="14" t="str"/>
      <x:c r="E31" s="14" t="str">
        <x:v>leco:HistoricalCategoryAssignment; leco:HistoricalLegalCategory y subclases</x:v>
      </x:c>
      <x:c r="F31" s="14" t="str">
        <x:v>leco:assignsHistoricalCategory; leco:categoryAssignedTo; leco:classifiedAsHistoricalCategory; leco:attestedIn</x:v>
      </x:c>
      <x:c r="G31" s="14" t="str">
        <x:v>Assignment → category + target + evidence</x:v>
      </x:c>
      <x:c r="H31" s="14" t="str">
        <x:v>Persona/colectivo → «indios», «vecinos», «naturales»</x:v>
      </x:c>
      <x:c r="I31" s="14" t="str">
        <x:v>Cubierta</x:v>
      </x:c>
      <x:c r="J31" s="14" t="str">
        <x:v>La atribución se modela como afirmación histórica contextualizada.</x:v>
      </x:c>
    </x:row>
    <x:row r="32">
      <x:c r="A32" s="14" t="str">
        <x:v>CQ31</x:v>
      </x:c>
      <x:c r="B32" s="14" t="str">
        <x:v>Conceptos y categorías</x:v>
      </x:c>
      <x:c r="C32" s="14" t="str">
        <x:v>¿A qué subtipo pertenece una categoría histórica: étnico-jurídica, estatus, religiosa, socio-jurídica o estatus/oficio colonial?</x:v>
      </x:c>
      <x:c r="D32" s="14" t="str"/>
      <x:c r="E32" s="14" t="str">
        <x:v>leco:EthnoLegalCategory; leco:StatusCategory; leco:ReligiousLegalCategory; leco:SocioLegalCategory; leco:ColonialOfficeStatus</x:v>
      </x:c>
      <x:c r="F32" s="14" t="str">
        <x:v>rdf:type / rdfs:subClassOf / SKOS</x:v>
      </x:c>
      <x:c r="G32" s="14" t="str">
        <x:v>Concepto histórico → tipo de categoría</x:v>
      </x:c>
      <x:c r="H32" s="14" t="str">
        <x:v>Indios → EthnoLegalCategory; Judíos → ReligiousLegalCategory</x:v>
      </x:c>
      <x:c r="I32" s="14" t="str">
        <x:v>Cubierta</x:v>
      </x:c>
      <x:c r="J32" s="14" t="str">
        <x:v>Un concepto puede pertenecer a más de una subcategoría cuando el análisis histórico lo justifique.</x:v>
      </x:c>
    </x:row>
    <x:row r="33">
      <x:c r="A33" s="14" t="str">
        <x:v>CQ32</x:v>
      </x:c>
      <x:c r="B33" s="14" t="str">
        <x:v>Conceptos y categorías</x:v>
      </x:c>
      <x:c r="C33" s="14" t="str">
        <x:v>¿Una misma persona o colectivo recibe diferentes categorías histórico-jurídicas en distintos documentos o contextos?</x:v>
      </x:c>
      <x:c r="D33" s="14" t="str"/>
      <x:c r="E33" s="14" t="str">
        <x:v>leco:HistoricalCategoryAssignment; leco:HistoricalLegalCategory; leco:JurisdictionalAct</x:v>
      </x:c>
      <x:c r="F33" s="14" t="str">
        <x:v>leco:categoryAssignedTo; leco:assignsHistoricalCategory; leco:attestedIn; leco:categoryAssignmentJurisdiction; leco:categoryAssignmentTime; leco:categoryAssignmentInAct</x:v>
      </x:c>
      <x:c r="G33" s="14" t="str">
        <x:v>Assignment → target + categoría + evidencia + jurisdicción + tiempo + acto</x:v>
      </x:c>
      <x:c r="H33" s="14" t="str">
        <x:v>Mismo colectivo clasificado como «naturales» y «vecinos» en contextos distintos</x:v>
      </x:c>
      <x:c r="I33" s="14" t="str">
        <x:v>Cubierta</x:v>
      </x:c>
      <x:c r="J33" s="14" t="str">
        <x:v>Resuelto haciendo explícito el contexto temporal, jurisdiccional y procesal de cada atribución histórica; evita esencializar categorías coloniales.</x:v>
      </x:c>
    </x:row>
    <x:row r="34">
      <x:c r="A34" s="14" t="str">
        <x:v>CQ33</x:v>
      </x:c>
      <x:c r="B34" s="14" t="str">
        <x:v>Procedencia e IA</x:v>
      </x:c>
      <x:c r="C34" s="14" t="str">
        <x:v>¿Qué fragmento textual sustenta una determinada afirmación del grafo?</x:v>
      </x:c>
      <x:c r="D34" s="14" t="str">
        <x:v>C10</x:v>
      </x:c>
      <x:c r="E34" s="14" t="str">
        <x:v>leco:SemanticAnnotation; leco:LegalDocumentPart</x:v>
      </x:c>
      <x:c r="F34" s="14" t="str">
        <x:v>leco:annotationTarget; leco:annotationBody; leco:evidenceText; leco:attestedIn</x:v>
      </x:c>
      <x:c r="G34" s="14" t="str">
        <x:v>Annotation → target/body + evidence/segment</x:v>
      </x:c>
      <x:c r="H34" s="14" t="str">
        <x:v>Afirmación «Pineda es apelante» → segmento de apelación</x:v>
      </x:c>
      <x:c r="I34" s="14" t="str">
        <x:v>Cubierta</x:v>
      </x:c>
      <x:c r="J34" s="14" t="str">
        <x:v>CQ esencial para auditabilidad histórica.</x:v>
      </x:c>
    </x:row>
    <x:row r="35">
      <x:c r="A35" s="14" t="str">
        <x:v>CQ34</x:v>
      </x:c>
      <x:c r="B35" s="14" t="str">
        <x:v>Procedencia e IA</x:v>
      </x:c>
      <x:c r="C35" s="14" t="str">
        <x:v>¿Una anotación fue extraída explícitamente del texto o inferida a partir de él?</x:v>
      </x:c>
      <x:c r="D35" s="14" t="str"/>
      <x:c r="E35" s="14" t="str">
        <x:v>leco:SemanticAnnotation; leco:AnnotationBasis</x:v>
      </x:c>
      <x:c r="F35" s="14" t="str">
        <x:v>leco:annotationBasis; leco:annotationTarget; leco:annotationBody</x:v>
      </x:c>
      <x:c r="G35" s="14" t="str">
        <x:v>SemanticAnnotation → annotationBasis → ExplicitTextualEvidence / InferredFromText / CatalogMetadataBasis / HumanInterpretationBasis</x:v>
      </x:c>
      <x:c r="H35" s="14" t="str">
        <x:v>«Alcalde Ordinario» explícito; «apelante» inferido</x:v>
      </x:c>
      <x:c r="I35" s="14" t="str">
        <x:v>Cubierta</x:v>
      </x:c>
      <x:c r="J35" s="14" t="str">
        <x:v>Resuelto mediante vocabulario SKOS AnnotationBasis, distinguiendo evidencia textual explícita, inferencia, metadatos y interpretación humana.</x:v>
      </x:c>
    </x:row>
    <x:row r="36">
      <x:c r="A36" s="14" t="str">
        <x:v>CQ35</x:v>
      </x:c>
      <x:c r="B36" s="14" t="str">
        <x:v>Procedencia e IA</x:v>
      </x:c>
      <x:c r="C36" s="14" t="str">
        <x:v>¿Quién o qué produjo una anotación: investigador, modelo de IA o regla automática?</x:v>
      </x:c>
      <x:c r="D36" s="14" t="str"/>
      <x:c r="E36" s="14" t="str">
        <x:v>leco:SemanticAnnotation; leco:AnnotationActivity; leco:AIAnnotationActivity; prov:Agent</x:v>
      </x:c>
      <x:c r="F36" s="14" t="str">
        <x:v>PROV-O prov:wasGeneratedBy / prov:wasAssociatedWith o asociación cualificada</x:v>
      </x:c>
      <x:c r="G36" s="14" t="str">
        <x:v>Annotation → wasGeneratedBy → AnnotationActivity → Agent</x:v>
      </x:c>
      <x:c r="H36" s="14" t="str">
        <x:v>Anotación propuesta por IA y luego revisada por investigadora</x:v>
      </x:c>
      <x:c r="I36" s="14" t="str">
        <x:v>Cubierta</x:v>
      </x:c>
      <x:c r="J36" s="14" t="str">
        <x:v>La ontología ya incorpora clases específicas de actividad.</x:v>
      </x:c>
    </x:row>
    <x:row r="37">
      <x:c r="A37" s="14" t="str">
        <x:v>CQ36</x:v>
      </x:c>
      <x:c r="B37" s="14" t="str">
        <x:v>Procedencia e IA</x:v>
      </x:c>
      <x:c r="C37" s="14" t="str">
        <x:v>¿La anotación fue validada, rechazada o modificada por una persona?</x:v>
      </x:c>
      <x:c r="D37" s="14" t="str"/>
      <x:c r="E37" s="14" t="str">
        <x:v>leco:SemanticAnnotation; leco:HumanValidationActivity; leco:ValidationStatus</x:v>
      </x:c>
      <x:c r="F37" s="14" t="str">
        <x:v>leco:hasValidationStatus; leco:validationNote; PROV-O</x:v>
      </x:c>
      <x:c r="G37" s="14" t="str">
        <x:v>Annotation → hasValidationStatus → status; validación → agente</x:v>
      </x:c>
      <x:c r="H37" s="14" t="str">
        <x:v>Proposed → HumanValidated / Rejected / Modified</x:v>
      </x:c>
      <x:c r="I37" s="14" t="str">
        <x:v>Cubierta</x:v>
      </x:c>
      <x:c r="J37" s="14" t="str">
        <x:v>Conviene poblar un vocabulario SKOS de estados de validación.</x:v>
      </x:c>
    </x:row>
    <x:row r="38">
      <x:c r="A38" s="14" t="str">
        <x:v>CQ37</x:v>
      </x:c>
      <x:c r="B38" s="14" t="str">
        <x:v>Procedencia e IA</x:v>
      </x:c>
      <x:c r="C38" s="14" t="str">
        <x:v>¿Cuál es el nivel de confianza de una inferencia automática?</x:v>
      </x:c>
      <x:c r="D38" s="14" t="str"/>
      <x:c r="E38" s="14" t="str">
        <x:v>leco:SemanticAnnotation</x:v>
      </x:c>
      <x:c r="F38" s="14" t="str">
        <x:v>leco:confidenceScore</x:v>
      </x:c>
      <x:c r="G38" s="14" t="str">
        <x:v>Annotation → confidenceScore → decimal</x:v>
      </x:c>
      <x:c r="H38" s="14" t="str">
        <x:v>0.87 para una inferencia de rol procesal</x:v>
      </x:c>
      <x:c r="I38" s="14" t="str">
        <x:v>Cubierta</x:v>
      </x:c>
      <x:c r="J38" s="14" t="str">
        <x:v>Debe definirse rango 0–1 mediante SHACL.</x:v>
      </x:c>
    </x:row>
  </x:sheetData>
  <x:conditionalFormatting sqref="I2:I38">
    <x:cfRule type="expression" dxfId="0" priority="1">
      <x:formula>I2="Cubierta"</x:formula>
    </x:cfRule>
    <x:cfRule type="expression" dxfId="1" priority="2">
      <x:formula>I2="Parcial"</x:formula>
    </x:cfRule>
    <x:cfRule type="expression" dxfId="2" priority="3">
      <x:formula>I2="No cubierta"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49542829334e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8" hidden="0" customWidth="1"/>
    <x:col min="4" max="4" width="10" hidden="0" customWidth="1"/>
    <x:col min="5" max="5" width="55" hidden="0" customWidth="1"/>
    <x:col min="6" max="6" width="55" hidden="0" customWidth="1"/>
    <x:col min="7" max="7" width="58" hidden="0" customWidth="1"/>
    <x:col min="8" max="8" width="48" hidden="0" customWidth="1"/>
    <x:col min="9" max="9" width="20" hidden="0" customWidth="1"/>
    <x:col min="10" max="10" width="68" hidden="0" customWidth="1"/>
  </x:cols>
  <x:sheetData>
    <x:row r="1">
      <x:c r="A1" s="20" t="str">
        <x:v>CQ ID</x:v>
      </x:c>
      <x:c r="B1" s="20" t="str">
        <x:v>Bloque</x:v>
      </x:c>
      <x:c r="C1" s="20" t="str">
        <x:v>Competency Question</x:v>
      </x:c>
      <x:c r="D1" s="20" t="str">
        <x:v>Núcleo</x:v>
      </x:c>
      <x:c r="E1" s="20" t="str">
        <x:v>Clases / vocabularios</x:v>
      </x:c>
      <x:c r="F1" s="20" t="str">
        <x:v>Propiedades</x:v>
      </x:c>
      <x:c r="G1" s="20" t="str">
        <x:v>Patrón de respuesta esperado</x:v>
      </x:c>
      <x:c r="H1" s="20" t="str">
        <x:v>Ejemplo del corpus</x:v>
      </x:c>
      <x:c r="I1" s="20" t="str">
        <x:v>Cobertura LeCO v0.2</x:v>
      </x:c>
      <x:c r="J1" s="20" t="str">
        <x:v>Acción / observación</x:v>
      </x:c>
    </x:row>
    <x:row r="2">
      <x:c r="A2" s="14" t="str">
        <x:v>CQ03</x:v>
      </x:c>
      <x:c r="B2" s="14" t="str">
        <x:v>Documentos</x:v>
      </x:c>
      <x:c r="C2" s="14" t="str">
        <x:v>¿Qué acto jurisdiccional está documentado o evidenciado por un determinado segmento textual?</x:v>
      </x:c>
      <x:c r="D2" s="14" t="str">
        <x:v>C09</x:v>
      </x:c>
      <x:c r="E2" s="14" t="str">
        <x:v>leco:LegalDocumentPart; leco:JurisdictionalAct</x:v>
      </x:c>
      <x:c r="F2" s="14" t="str">
        <x:v>leco:documentsAct; leco:attestedIn</x:v>
      </x:c>
      <x:c r="G2" s="14" t="str">
        <x:v>Segmento → documentsAct → Acto</x:v>
      </x:c>
      <x:c r="H2" s="14" t="str">
        <x:v>Segmento «compareció... para apelar» → Apelación_1547</x:v>
      </x:c>
      <x:c r="I2" s="14" t="str">
        <x:v>Cubierta</x:v>
      </x:c>
      <x:c r="J2" s="14" t="str">
        <x:v>Es una CQ central para mantener el anclaje textual.</x:v>
      </x:c>
    </x:row>
    <x:row r="3">
      <x:c r="A3" s="14" t="str">
        <x:v>CQ05</x:v>
      </x:c>
      <x:c r="B3" s="14" t="str">
        <x:v>Actores y roles</x:v>
      </x:c>
      <x:c r="C3" s="14" t="str">
        <x:v>¿Qué personas aparecen en un documento y en qué actuaciones participan?</x:v>
      </x:c>
      <x:c r="D3" s="14" t="str">
        <x:v>C01</x:v>
      </x:c>
      <x:c r="E3" s="14" t="str">
        <x:v>rico:Person; crm:E21_Person; leco:JurisdictionalAct; leco:Participation</x:v>
      </x:c>
      <x:c r="F3" s="14" t="str">
        <x:v>leco:hasParticipant; leco:hasParticipation; leco:participationActor; leco:participationInAct</x:v>
      </x:c>
      <x:c r="G3" s="14" t="str">
        <x:v>Acto → hasParticipant → Persona; o Participation(actor, act)</x:v>
      </x:c>
      <x:c r="H3" s="14" t="str">
        <x:v>Juan de Pineda participa en Apelación_1547</x:v>
      </x:c>
      <x:c r="I3" s="14" t="str">
        <x:v>Cubierta</x:v>
      </x:c>
      <x:c r="J3" s="14" t="str">
        <x:v>Participation es preferible cuando necesitamos añadir rol.</x:v>
      </x:c>
    </x:row>
    <x:row r="4">
      <x:c r="A4" s="14" t="str">
        <x:v>CQ06</x:v>
      </x:c>
      <x:c r="B4" s="14" t="str">
        <x:v>Actores y roles</x:v>
      </x:c>
      <x:c r="C4" s="14" t="str">
        <x:v>¿Qué oficio ocupa una persona en un momento determinado?</x:v>
      </x:c>
      <x:c r="D4" s="14" t="str">
        <x:v>C02</x:v>
      </x:c>
      <x:c r="E4" s="14" t="str">
        <x:v>leco:Office; leco:OfficeType; rico:Person</x:v>
      </x:c>
      <x:c r="F4" s="14" t="str">
        <x:v>leco:holdsOffice; leco:hasOfficeType; OWL-Time/RiC-O temporalidad</x:v>
      </x:c>
      <x:c r="G4" s="14" t="str">
        <x:v>Persona → holdsOffice → Office → hasOfficeType → Tipo; OfficeHolding → tiempo</x:v>
      </x:c>
      <x:c r="H4" s="14" t="str">
        <x:v>Juan de Pineda → Alcalde Ordinario → 1547</x:v>
      </x:c>
      <x:c r="I4" s="14" t="str">
        <x:v>Parcial</x:v>
      </x:c>
      <x:c r="J4" s="14" t="str">
        <x:v>El shortcut holdsOffice existe, pero falta un patrón explícito de OfficeHolding temporalizado. Recomiendo añadirlo.</x:v>
      </x:c>
    </x:row>
    <x:row r="5">
      <x:c r="A5" s="14" t="str">
        <x:v>CQ08</x:v>
      </x:c>
      <x:c r="B5" s="14" t="str">
        <x:v>Actores y roles</x:v>
      </x:c>
      <x:c r="C5" s="14" t="str">
        <x:v>¿Qué rol procesal desempeña una persona dentro de una actuación específica?</x:v>
      </x:c>
      <x:c r="D5" s="14" t="str">
        <x:v>C03</x:v>
      </x:c>
      <x:c r="E5" s="14" t="str">
        <x:v>leco:Participation; leco:ProceduralRole</x:v>
      </x:c>
      <x:c r="F5" s="14" t="str">
        <x:v>leco:participationActor; leco:participationRole; leco:participationInAct</x:v>
      </x:c>
      <x:c r="G5" s="14" t="str">
        <x:v>Participation → actor + role + act</x:v>
      </x:c>
      <x:c r="H5" s="14" t="str">
        <x:v>Juan de Pineda → Apelante → Apelación_1547</x:v>
      </x:c>
      <x:c r="I5" s="14" t="str">
        <x:v>Cubierta</x:v>
      </x:c>
      <x:c r="J5" s="14" t="str">
        <x:v>Este patrón evita afirmar que una persona posee permanentemente un rol procesal.</x:v>
      </x:c>
    </x:row>
    <x:row r="6">
      <x:c r="A6" s="14" t="str">
        <x:v>CQ11</x:v>
      </x:c>
      <x:c r="B6" s="14" t="str">
        <x:v>Instituciones y jurisdicción</x:v>
      </x:c>
      <x:c r="C6" s="14" t="str">
        <x:v>¿Qué instituciones intervienen en una determinada actuación jurídica?</x:v>
      </x:c>
      <x:c r="D6" s="14" t="str">
        <x:v>C04</x:v>
      </x:c>
      <x:c r="E6" s="14" t="str">
        <x:v>rico:CorporateBody; crm:E7_Activity; leco:JurisdictionalAct</x:v>
      </x:c>
      <x:c r="F6" s="14" t="str">
        <x:v>leco:hasParticipant; leco:beforeAuthority; leco:decidedBy</x:v>
      </x:c>
      <x:c r="G6" s="14" t="str">
        <x:v>Acto → hasParticipant/beforeAuthority/decidedBy → institución</x:v>
      </x:c>
      <x:c r="H6" s="14" t="str">
        <x:v>Cabildo y Real Audiencia intervienen en el conflicto de Pineda</x:v>
      </x:c>
      <x:c r="I6" s="14" t="str">
        <x:v>Cubierta</x:v>
      </x:c>
      <x:c r="J6" s="14" t="str">
        <x:v>Se debe distinguir participar, decidir y actuar como autoridad receptora.</x:v>
      </x:c>
    </x:row>
    <x:row r="7">
      <x:c r="A7" s="14" t="str">
        <x:v>CQ13</x:v>
      </x:c>
      <x:c r="B7" s="14" t="str">
        <x:v>Instituciones y jurisdicción</x:v>
      </x:c>
      <x:c r="C7" s="14" t="str">
        <x:v>¿Qué institución o autoridad ejerce jurisdicción sobre una actuación, actor o territorio?</x:v>
      </x:c>
      <x:c r="D7" s="14" t="str">
        <x:v>C05</x:v>
      </x:c>
      <x:c r="E7" s="14" t="str">
        <x:v>leco:Jurisdiction; leco:TerritorialJurisdiction; leco:PersonalJurisdiction; leco:SubjectMatterJurisdiction</x:v>
      </x:c>
      <x:c r="F7" s="14" t="str">
        <x:v>leco:exercisesJurisdiction; leco:withinJurisdiction; leco:personalScope; leco:territorialScope; leco:subjectMatterScope</x:v>
      </x:c>
      <x:c r="G7" s="14" t="str">
        <x:v>Autoridad → exercisesJurisdiction → Jurisdiction; Acto → withinJurisdiction → Jurisdiction</x:v>
      </x:c>
      <x:c r="H7" s="14" t="str">
        <x:v>Cabildo → jurisdicción local; Audiencia → jurisdicción de revisión</x:v>
      </x:c>
      <x:c r="I7" s="14" t="str">
        <x:v>Cubierta</x:v>
      </x:c>
      <x:c r="J7" s="14" t="str">
        <x:v>Es una CQ central de cultura jurisdiccional.</x:v>
      </x:c>
    </x:row>
    <x:row r="8">
      <x:c r="A8" s="14" t="str">
        <x:v>CQ16</x:v>
      </x:c>
      <x:c r="B8" s="14" t="str">
        <x:v>Instituciones y jurisdicción</x:v>
      </x:c>
      <x:c r="C8" s="14" t="str">
        <x:v>¿Qué decisiones tomadas por una autoridad local son revisadas, apeladas o condicionadas por una autoridad superior?</x:v>
      </x:c>
      <x:c r="D8" s="14" t="str">
        <x:v>C11</x:v>
      </x:c>
      <x:c r="E8" s="14" t="str">
        <x:v>leco:LegalDecision; leco:Appeal</x:v>
      </x:c>
      <x:c r="F8" s="14" t="str">
        <x:v>leco:appealsAgainst; leco:beforeAuthority; leco:decidedBy; leco:withinJurisdiction</x:v>
      </x:c>
      <x:c r="G8" s="14" t="str">
        <x:v>Appeal → appealsAgainst → Decision; Appeal → beforeAuthority → superior</x:v>
      </x:c>
      <x:c r="H8" s="14" t="str">
        <x:v>Sanción del Cabildo → apelada por Pineda → Real Audiencia</x:v>
      </x:c>
      <x:c r="I8" s="14" t="str">
        <x:v>Cubierta</x:v>
      </x:c>
      <x:c r="J8" s="14" t="str">
        <x:v>CQ especialmente representativa del aporte de LeCO.</x:v>
      </x:c>
    </x:row>
    <x:row r="9">
      <x:c r="A9" s="14" t="str">
        <x:v>CQ19</x:v>
      </x:c>
      <x:c r="B9" s="14" t="str">
        <x:v>Actos y procedimientos</x:v>
      </x:c>
      <x:c r="C9" s="14" t="str">
        <x:v>¿Qué decisión jurídica es objeto de una apelación?</x:v>
      </x:c>
      <x:c r="D9" s="14" t="str">
        <x:v>C06</x:v>
      </x:c>
      <x:c r="E9" s="14" t="str">
        <x:v>leco:Appeal; leco:LegalDecision</x:v>
      </x:c>
      <x:c r="F9" s="14" t="str">
        <x:v>leco:appealsAgainst</x:v>
      </x:c>
      <x:c r="G9" s="14" t="str">
        <x:v>Appeal → appealsAgainst → LegalDecision</x:v>
      </x:c>
      <x:c r="H9" s="14" t="str">
        <x:v>Apelación de Pineda → sanción del Cabildo</x:v>
      </x:c>
      <x:c r="I9" s="14" t="str">
        <x:v>Cubierta</x:v>
      </x:c>
      <x:c r="J9" s="14" t="str">
        <x:v>Patrón simple y bien definido.</x:v>
      </x:c>
    </x:row>
    <x:row r="10">
      <x:c r="A10" s="14" t="str">
        <x:v>CQ23</x:v>
      </x:c>
      <x:c r="B10" s="14" t="str">
        <x:v>Normas y argumentación</x:v>
      </x:c>
      <x:c r="C10" s="14" t="str">
        <x:v>¿Qué normas, leyes, cédulas, provisiones, ordenanzas, autos u otras fuentes normativas son invocadas en una actuación?</x:v>
      </x:c>
      <x:c r="D10" s="14" t="str">
        <x:v>C07</x:v>
      </x:c>
      <x:c r="E10" s="14" t="str">
        <x:v>leco:NormativeRule; leco:NormativeDocument; leco:JurisdictionalAct</x:v>
      </x:c>
      <x:c r="F10" s="14" t="str">
        <x:v>leco:invokesRule; leco:expressesRule</x:v>
      </x:c>
      <x:c r="G10" s="14" t="str">
        <x:v>Acto → invokesRule → Rule; Documento → expressesRule → Rule</x:v>
      </x:c>
      <x:c r="H10" s="14" t="str">
        <x:v>Acta invoca cédula / real provisión / leyes</x:v>
      </x:c>
      <x:c r="I10" s="14" t="str">
        <x:v>Cubierta</x:v>
      </x:c>
      <x:c r="J10" s="14" t="str">
        <x:v>Separa la regla de su soporte documental.</x:v>
      </x:c>
    </x:row>
    <x:row r="11">
      <x:c r="A11" s="14" t="str">
        <x:v>CQ25</x:v>
      </x:c>
      <x:c r="B11" s="14" t="str">
        <x:v>Normas y argumentación</x:v>
      </x:c>
      <x:c r="C11" s="14" t="str">
        <x:v>¿Qué fuente normativa es utilizada para justificar una decisión o actuación concreta?</x:v>
      </x:c>
      <x:c r="D11" s="14" t="str">
        <x:v>C12</x:v>
      </x:c>
      <x:c r="E11" s="14" t="str">
        <x:v>leco:LegalArgument; leco:LegalDecision; leco:NormativeRule</x:v>
      </x:c>
      <x:c r="F11" s="14" t="str">
        <x:v>leco:hasLegalArgument; leco:invokesRule</x:v>
      </x:c>
      <x:c r="G11" s="14" t="str">
        <x:v>Decision → hasLegalArgument → Argument → [invoca] Rule</x:v>
      </x:c>
      <x:c r="H11" s="14" t="str">
        <x:v>Decisión fundamentada en una cédula o ley</x:v>
      </x:c>
      <x:c r="I11" s="14" t="str">
        <x:v>Parcial</x:v>
      </x:c>
      <x:c r="J11" s="14" t="str">
        <x:v>Falta una propiedad explícita LegalArgument → NormativeRule, p. ej. leco:argumentInvokesRule.</x:v>
      </x:c>
    </x:row>
    <x:row r="12">
      <x:c r="A12" s="14" t="str">
        <x:v>CQ27</x:v>
      </x:c>
      <x:c r="B12" s="14" t="str">
        <x:v>Conceptos y categorías</x:v>
      </x:c>
      <x:c r="C12" s="14" t="str">
        <x:v>¿Qué conceptos jurídico-históricos aparecen en un documento?</x:v>
      </x:c>
      <x:c r="D12" s="14" t="str">
        <x:v>C08</x:v>
      </x:c>
      <x:c r="E12" s="14" t="str">
        <x:v>leco:HistoricalLegalConcept; leco:HistoricalConceptUse</x:v>
      </x:c>
      <x:c r="F12" s="14" t="str">
        <x:v>leco:usesHistoricalConcept; leco:conceptUsed; leco:attestedIn</x:v>
      </x:c>
      <x:c r="G12" s="14" t="str">
        <x:v>ConceptUse → conceptUsed → Concept; → attestedIn → Segment/Documento</x:v>
      </x:c>
      <x:c r="H12" s="14" t="str">
        <x:v>Real Servicio aparece en el acta de 1547</x:v>
      </x:c>
      <x:c r="I12" s="14" t="str">
        <x:v>Cubierta</x:v>
      </x:c>
      <x:c r="J12" s="14" t="str">
        <x:v>HistoricalConceptUse permite contextualizar la ocurrencia.</x:v>
      </x:c>
    </x:row>
    <x:row r="13">
      <x:c r="A13" s="14" t="str">
        <x:v>CQ33</x:v>
      </x:c>
      <x:c r="B13" s="14" t="str">
        <x:v>Procedencia e IA</x:v>
      </x:c>
      <x:c r="C13" s="14" t="str">
        <x:v>¿Qué fragmento textual sustenta una determinada afirmación del grafo?</x:v>
      </x:c>
      <x:c r="D13" s="14" t="str">
        <x:v>C10</x:v>
      </x:c>
      <x:c r="E13" s="14" t="str">
        <x:v>leco:SemanticAnnotation; leco:LegalDocumentPart</x:v>
      </x:c>
      <x:c r="F13" s="14" t="str">
        <x:v>leco:annotationTarget; leco:annotationBody; leco:evidenceText; leco:attestedIn</x:v>
      </x:c>
      <x:c r="G13" s="14" t="str">
        <x:v>Annotation → target/body + evidence/segment</x:v>
      </x:c>
      <x:c r="H13" s="14" t="str">
        <x:v>Afirmación «Pineda es apelante» → segmento de apelación</x:v>
      </x:c>
      <x:c r="I13" s="14" t="str">
        <x:v>Cubierta</x:v>
      </x:c>
      <x:c r="J13" s="14" t="str">
        <x:v>CQ esencial para auditabilidad histórica.</x:v>
      </x:c>
    </x:row>
  </x:sheetData>
  <x:pageMargins left="0.7" right="0.7" top="0.75" bottom="0.75" header="0.3" footer="0.3"/>
  <x:tableParts count="1">
    <x:tablePart xmlns:r="http://schemas.openxmlformats.org/officeDocument/2006/relationships" r:id="R1be8aa3d99b84a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52" hidden="0" customWidth="1"/>
    <x:col min="4" max="4" width="58" hidden="0" customWidth="1"/>
  </x:cols>
  <x:sheetData>
    <x:row r="1">
      <x:c r="A1" s="28" t="str">
        <x:v>LeCO v0.3 — Matriz de Competency Questions (gaps resueltos)</x:v>
      </x:c>
      <x:c r="B1" s="28"/>
      <x:c r="C1" s="28"/>
      <x:c r="D1" s="28"/>
    </x:row>
    <x:row r="2">
      <x:c r="A2" s="34" t="str">
        <x:v>Indicador</x:v>
      </x:c>
      <x:c r="B2" s="34" t="str">
        <x:v>Valor</x:v>
      </x:c>
      <x:c r="C2" s="34" t="str">
        <x:v>Lectura</x:v>
      </x:c>
      <x:c r="D2" s="34" t="str">
        <x:v>Siguiente acción</x:v>
      </x:c>
    </x:row>
    <x:row r="3">
      <x:c r="A3" s="12" t="str">
        <x:v>CQ totales</x:v>
      </x:c>
      <x:c r="B3" s="12" t="n">
        <x:f>COUNTA('Matriz CQ completa'!A2:A100)</x:f>
        <x:v>37</x:v>
      </x:c>
      <x:c r="C3" s="12" t="str">
        <x:v>Cobertura funcional del dominio</x:v>
      </x:c>
      <x:c r="D3" s="12" t="str">
        <x:v>Usarlas como base de validación</x:v>
      </x:c>
    </x:row>
    <x:row r="4">
      <x:c r="A4" s="12" t="str">
        <x:v>CQ núcleo</x:v>
      </x:c>
      <x:c r="B4" s="12" t="n">
        <x:f>COUNTA('CQ núcleo'!A2:A100)</x:f>
        <x:v>12</x:v>
      </x:c>
      <x:c r="C4" s="12" t="str">
        <x:v>Conjunto mínimo para validar LeCO</x:v>
      </x:c>
      <x:c r="D4" s="12" t="str">
        <x:v>Priorizar SHACL y SPARQL</x:v>
      </x:c>
    </x:row>
    <x:row r="5">
      <x:c r="A5" s="12" t="str">
        <x:v>Cubiertas</x:v>
      </x:c>
      <x:c r="B5" s="12" t="n">
        <x:f>COUNTIF('Matriz CQ completa'!I2:I100,"Cubierta")</x:f>
        <x:v>37</x:v>
      </x:c>
      <x:c r="C5" s="12" t="str">
        <x:v>Resueltas por el modelo actual</x:v>
      </x:c>
      <x:c r="D5" s="12" t="str">
        <x:v>Probar con instancias reales</x:v>
      </x:c>
    </x:row>
    <x:row r="6">
      <x:c r="A6" s="12" t="str">
        <x:v>Parciales</x:v>
      </x:c>
      <x:c r="B6" s="12" t="n">
        <x:f>COUNTIF('Matriz CQ completa'!I2:I100,"Parcial")</x:f>
        <x:v>0</x:v>
      </x:c>
      <x:c r="C6" s="12" t="str">
        <x:v>Requieren patrón o propiedad adicional</x:v>
      </x:c>
      <x:c r="D6" s="12" t="str">
        <x:v>Resolver antes de LeCO 1.0</x:v>
      </x:c>
    </x:row>
    <x:row r="7">
      <x:c r="A7" s="12" t="str">
        <x:v>No cubiertas</x:v>
      </x:c>
      <x:c r="B7" s="12" t="n">
        <x:f>COUNTIF('Matriz CQ completa'!I2:I100,"No cubierta")</x:f>
        <x:v>0</x:v>
      </x:c>
      <x:c r="C7" s="12" t="str">
        <x:v>Huecos estructurales</x:v>
      </x:c>
      <x:c r="D7" s="12" t="str">
        <x:v>Añadir solo si aparecen</x:v>
      </x:c>
    </x:row>
    <x:row r="8">
      <x:c r="A8" s="12"/>
      <x:c r="B8" s="12"/>
      <x:c r="C8" s="12"/>
      <x:c r="D8" s="12"/>
    </x:row>
    <x:row r="9">
      <x:c r="A9" s="12"/>
      <x:c r="B9" s="12"/>
      <x:c r="C9" s="12"/>
      <x:c r="D9" s="12"/>
    </x:row>
    <x:row r="10">
      <x:c r="A10" s="12"/>
      <x:c r="B10" s="12"/>
      <x:c r="C10" s="12"/>
      <x:c r="D10" s="12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8" hidden="0" customWidth="1"/>
    <x:col min="4" max="4" width="10" hidden="0" customWidth="1"/>
    <x:col min="5" max="5" width="55" hidden="0" customWidth="1"/>
    <x:col min="6" max="6" width="55" hidden="0" customWidth="1"/>
    <x:col min="7" max="7" width="58" hidden="0" customWidth="1"/>
    <x:col min="8" max="8" width="48" hidden="0" customWidth="1"/>
    <x:col min="9" max="9" width="20" hidden="0" customWidth="1"/>
    <x:col min="10" max="10" width="68" hidden="0" customWidth="1"/>
  </x:cols>
  <x:sheetData>
    <x:row r="1">
      <x:c r="A1" s="42" t="str">
        <x:v>CQ ID</x:v>
      </x:c>
      <x:c r="B1" s="42" t="str">
        <x:v>Bloque</x:v>
      </x:c>
      <x:c r="C1" s="42" t="str">
        <x:v>Competency Question</x:v>
      </x:c>
      <x:c r="D1" s="42" t="str">
        <x:v>Núcleo</x:v>
      </x:c>
      <x:c r="E1" s="42" t="str">
        <x:v>Clases / vocabularios</x:v>
      </x:c>
      <x:c r="F1" s="42" t="str">
        <x:v>Propiedades</x:v>
      </x:c>
      <x:c r="G1" s="42" t="str">
        <x:v>Patrón de respuesta esperado</x:v>
      </x:c>
      <x:c r="H1" s="42" t="str">
        <x:v>Ejemplo del corpus</x:v>
      </x:c>
      <x:c r="I1" s="42" t="str">
        <x:v>Cobertura LeCO v0.2</x:v>
      </x:c>
      <x:c r="J1" s="42" t="str">
        <x:v>Acción / observación</x:v>
      </x:c>
    </x:row>
    <x:row r="2">
      <x:c r="A2" s="14" t="str">
        <x:v>CQ02</x:v>
      </x:c>
      <x:c r="B2" s="14" t="str">
        <x:v>Documentos</x:v>
      </x:c>
      <x:c r="C2" s="14" t="str">
        <x:v>¿Qué partes o unidades internas contiene un documento y qué función jurídica cumple cada una?</x:v>
      </x:c>
      <x:c r="D2" s="14" t="str"/>
      <x:c r="E2" s="14" t="str">
        <x:v>leco:LegalDocument; leco:LegalDocumentPart</x:v>
      </x:c>
      <x:c r="F2" s="14" t="str">
        <x:v>RiC-O relación parte-todo; leco:documentsAct</x:v>
      </x:c>
      <x:c r="G2" s="14" t="str">
        <x:v>Documento → contiene → RecordPart; RecordPart → documentsAct → Acto</x:v>
      </x:c>
      <x:c r="H2" s="14" t="str">
        <x:v>Acta → segmento de apelación / segmento de decisión</x:v>
      </x:c>
      <x:c r="I2" s="14" t="str">
        <x:v>Parcial</x:v>
      </x:c>
      <x:c r="J2" s="14" t="str">
        <x:v>Falta fijar en LeCO el patrón canónico de parte-todo reutilizando la propiedad exacta de RiC-O.</x:v>
      </x:c>
    </x:row>
    <x:row r="3">
      <x:c r="A3" s="14" t="str">
        <x:v>CQ06</x:v>
      </x:c>
      <x:c r="B3" s="14" t="str">
        <x:v>Actores y roles</x:v>
      </x:c>
      <x:c r="C3" s="14" t="str">
        <x:v>¿Qué oficio ocupa una persona en un momento determinado?</x:v>
      </x:c>
      <x:c r="D3" s="14" t="str">
        <x:v>C02</x:v>
      </x:c>
      <x:c r="E3" s="14" t="str">
        <x:v>leco:Office; leco:OfficeType; rico:Person</x:v>
      </x:c>
      <x:c r="F3" s="14" t="str">
        <x:v>leco:holdsOffice; leco:hasOfficeType; OWL-Time/RiC-O temporalidad</x:v>
      </x:c>
      <x:c r="G3" s="14" t="str">
        <x:v>Persona → holdsOffice → Office → hasOfficeType → Tipo; OfficeHolding → tiempo</x:v>
      </x:c>
      <x:c r="H3" s="14" t="str">
        <x:v>Juan de Pineda → Alcalde Ordinario → 1547</x:v>
      </x:c>
      <x:c r="I3" s="14" t="str">
        <x:v>Parcial</x:v>
      </x:c>
      <x:c r="J3" s="14" t="str">
        <x:v>El shortcut holdsOffice existe, pero falta un patrón explícito de OfficeHolding temporalizado. Recomiendo añadirlo.</x:v>
      </x:c>
    </x:row>
    <x:row r="4">
      <x:c r="A4" s="14" t="str">
        <x:v>CQ10</x:v>
      </x:c>
      <x:c r="B4" s="14" t="str">
        <x:v>Actores y roles</x:v>
      </x:c>
      <x:c r="C4" s="14" t="str">
        <x:v>¿Qué actores aparecen enfrentados como partes, litigantes, peticionarios u opositores dentro de un mismo procedimiento?</x:v>
      </x:c>
      <x:c r="D4" s="14" t="str"/>
      <x:c r="E4" s="14" t="str">
        <x:v>leco:Participation; leco:Opposition; leco:ProceduralRole</x:v>
      </x:c>
      <x:c r="F4" s="14" t="str">
        <x:v>leco:hasParticipation; leco:participationRole; leco:hasObjectOfAct; leco:respondsTo</x:v>
      </x:c>
      <x:c r="G4" s="14" t="str">
        <x:v>Procedimiento/acto → participaciones con roles opuestos</x:v>
      </x:c>
      <x:c r="H4" s="14" t="str">
        <x:v>Peticionario A frente a opositor B</x:v>
      </x:c>
      <x:c r="I4" s="14" t="str">
        <x:v>Parcial</x:v>
      </x:c>
      <x:c r="J4" s="14" t="str">
        <x:v>Conviene definir un patrón de procedimiento/caso o una relación contextual de oposición entre participaciones.</x:v>
      </x:c>
    </x:row>
    <x:row r="5">
      <x:c r="A5" s="14" t="str">
        <x:v>CQ17</x:v>
      </x:c>
      <x:c r="B5" s="14" t="str">
        <x:v>Actos y procedimientos</x:v>
      </x:c>
      <x:c r="C5" s="14" t="str">
        <x:v>¿Qué actos jurídicos o jurisdiccionales ocurren en cada documento y en qué secuencia?</x:v>
      </x:c>
      <x:c r="D5" s="14" t="str"/>
      <x:c r="E5" s="14" t="str">
        <x:v>leco:JurisdictionalAct y subclases</x:v>
      </x:c>
      <x:c r="F5" s="14" t="str">
        <x:v>leco:documentsAct; OWL-Time time:before/time:after o relación LeCO futura</x:v>
      </x:c>
      <x:c r="G5" s="14" t="str">
        <x:v>Documento → documentsAct → Actos; Acto A → before → Acto B</x:v>
      </x:c>
      <x:c r="H5" s="14" t="str">
        <x:v>Nombramiento → sanción → apelación → investigación</x:v>
      </x:c>
      <x:c r="I5" s="14" t="str">
        <x:v>Parcial</x:v>
      </x:c>
      <x:c r="J5" s="14" t="str">
        <x:v>Falta adoptar explícitamente una relación de orden/secuencia; puede reutilizarse OWL-Time.</x:v>
      </x:c>
    </x:row>
    <x:row r="6">
      <x:c r="A6" s="14" t="str">
        <x:v>CQ24</x:v>
      </x:c>
      <x:c r="B6" s="14" t="str">
        <x:v>Normas y argumentación</x:v>
      </x:c>
      <x:c r="C6" s="14" t="str">
        <x:v>¿Qué autoridad produjo una determinada fuente normativa y en qué jurisdicción debía operar?</x:v>
      </x:c>
      <x:c r="D6" s="14" t="str"/>
      <x:c r="E6" s="14" t="str">
        <x:v>leco:NormativeDocument; leco:NormativeRule; rico:Agent; leco:Jurisdiction</x:v>
      </x:c>
      <x:c r="F6" s="14" t="str">
        <x:v>RiC-O creator relation (por fijar); leco:withinJurisdiction / scope</x:v>
      </x:c>
      <x:c r="G6" s="14" t="str">
        <x:v>NormativeDocument → creator → Authority; Rule/Act → jurisdiction → Jurisdiction</x:v>
      </x:c>
      <x:c r="H6" s="14" t="str">
        <x:v>Cédula → Rey; aplicación en jurisdicción determinada</x:v>
      </x:c>
      <x:c r="I6" s="14" t="str">
        <x:v>Parcial</x:v>
      </x:c>
      <x:c r="J6" s="14" t="str">
        <x:v>Falta fijar la propiedad RiC-O exacta para creación/emisión y el patrón de alcance normativo.</x:v>
      </x:c>
    </x:row>
    <x:row r="7">
      <x:c r="A7" s="14" t="str">
        <x:v>CQ25</x:v>
      </x:c>
      <x:c r="B7" s="14" t="str">
        <x:v>Normas y argumentación</x:v>
      </x:c>
      <x:c r="C7" s="14" t="str">
        <x:v>¿Qué fuente normativa es utilizada para justificar una decisión o actuación concreta?</x:v>
      </x:c>
      <x:c r="D7" s="14" t="str">
        <x:v>C12</x:v>
      </x:c>
      <x:c r="E7" s="14" t="str">
        <x:v>leco:LegalArgument; leco:LegalDecision; leco:NormativeRule</x:v>
      </x:c>
      <x:c r="F7" s="14" t="str">
        <x:v>leco:hasLegalArgument; leco:invokesRule</x:v>
      </x:c>
      <x:c r="G7" s="14" t="str">
        <x:v>Decision → hasLegalArgument → Argument → [invoca] Rule</x:v>
      </x:c>
      <x:c r="H7" s="14" t="str">
        <x:v>Decisión fundamentada en una cédula o ley</x:v>
      </x:c>
      <x:c r="I7" s="14" t="str">
        <x:v>Parcial</x:v>
      </x:c>
      <x:c r="J7" s="14" t="str">
        <x:v>Falta una propiedad explícita LegalArgument → NormativeRule, p. ej. leco:argumentInvokesRule.</x:v>
      </x:c>
    </x:row>
    <x:row r="8">
      <x:c r="A8" s="14" t="str">
        <x:v>CQ26</x:v>
      </x:c>
      <x:c r="B8" s="14" t="str">
        <x:v>Normas y argumentación</x:v>
      </x:c>
      <x:c r="C8" s="14" t="str">
        <x:v>¿Qué documentos posteriores reutilizan, interpretan o aplican una misma norma?</x:v>
      </x:c>
      <x:c r="D8" s="14" t="str"/>
      <x:c r="E8" s="14" t="str">
        <x:v>leco:NormativeRule; leco:LegalDocument; leco:JurisdictionalAct</x:v>
      </x:c>
      <x:c r="F8" s="14" t="str">
        <x:v>leco:invokesRule; leco:expressesRule</x:v>
      </x:c>
      <x:c r="G8" s="14" t="str">
        <x:v>Múltiples documentos/actos → misma Rule</x:v>
      </x:c>
      <x:c r="H8" s="14" t="str">
        <x:v>Actas posteriores invocan una misma cédula</x:v>
      </x:c>
      <x:c r="I8" s="14" t="str">
        <x:v>Parcial</x:v>
      </x:c>
      <x:c r="J8" s="14" t="str">
        <x:v>Conviene especializar invokesRule con citesRule/appliesRule/interpretsRule para distinguir funciones.</x:v>
      </x:c>
    </x:row>
    <x:row r="9">
      <x:c r="A9" s="14" t="str">
        <x:v>CQ32</x:v>
      </x:c>
      <x:c r="B9" s="14" t="str">
        <x:v>Conceptos y categorías</x:v>
      </x:c>
      <x:c r="C9" s="14" t="str">
        <x:v>¿Una misma persona o colectivo recibe diferentes categorías histórico-jurídicas en distintos documentos o contextos?</x:v>
      </x:c>
      <x:c r="D9" s="14" t="str"/>
      <x:c r="E9" s="14" t="str">
        <x:v>leco:HistoricalCategoryAssignment</x:v>
      </x:c>
      <x:c r="F9" s="14" t="str">
        <x:v>leco:categoryAssignedTo; leco:assignsHistoricalCategory; leco:attestedIn</x:v>
      </x:c>
      <x:c r="G9" s="14" t="str">
        <x:v>Agrupar assignments por target y comparar categorías/evidencias</x:v>
      </x:c>
      <x:c r="H9" s="14" t="str">
        <x:v>Mismo colectivo clasificado como «naturales» y «vecinos» en contextos distintos</x:v>
      </x:c>
      <x:c r="I9" s="14" t="str">
        <x:v>Parcial</x:v>
      </x:c>
      <x:c r="J9" s="14" t="str">
        <x:v>El contexto temporal/jurisdiccional puede inferirse del documento; podría añadirse directamente al Assignment.</x:v>
      </x:c>
    </x:row>
    <x:row r="10">
      <x:c r="A10" s="14" t="str">
        <x:v>CQ34</x:v>
      </x:c>
      <x:c r="B10" s="14" t="str">
        <x:v>Procedencia e IA</x:v>
      </x:c>
      <x:c r="C10" s="14" t="str">
        <x:v>¿Una anotación fue extraída explícitamente del texto o inferida a partir de él?</x:v>
      </x:c>
      <x:c r="D10" s="14" t="str"/>
      <x:c r="E10" s="14" t="str">
        <x:v>leco:SemanticAnnotation</x:v>
      </x:c>
      <x:c r="F10" s="14" t="str">
        <x:v>leco:annotationTarget; leco:annotationBody</x:v>
      </x:c>
      <x:c r="G10" s="14" t="str">
        <x:v>Annotation → basis = explicit/inferred</x:v>
      </x:c>
      <x:c r="H10" s="14" t="str">
        <x:v>«Alcalde Ordinario» explícito; «apelante» inferido</x:v>
      </x:c>
      <x:c r="I10" s="14" t="str">
        <x:v>Parcial</x:v>
      </x:c>
      <x:c r="J10" s="14" t="str">
        <x:v>Falta una propiedad/vocabulario específico, p. ej. leco:annotationBasis con ExplicitEvidence/Inference.</x:v>
      </x:c>
    </x:row>
  </x:sheetData>
  <x:pageMargins left="0.7" right="0.7" top="0.75" bottom="0.75" header="0.3" footer="0.3"/>
  <x:tableParts count="1">
    <x:tablePart xmlns:r="http://schemas.openxmlformats.org/officeDocument/2006/relationships" r:id="R09d448e00c6a4f1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65" hidden="0" customWidth="1"/>
    <x:col min="4" max="4" width="36" hidden="0" customWidth="1"/>
    <x:col min="5" max="5" width="52" hidden="0" customWidth="1"/>
    <x:col min="6" max="6" width="14" hidden="0" customWidth="1"/>
    <x:col min="7" max="7" width="45" hidden="0" customWidth="1"/>
  </x:cols>
  <x:sheetData>
    <x:row r="1">
      <x:c r="A1" s="53" t="str">
        <x:v>CQ</x:v>
      </x:c>
      <x:c r="B1" s="53" t="str">
        <x:v>Gap v0.2</x:v>
      </x:c>
      <x:c r="C1" s="53" t="str">
        <x:v>Solución v0.3</x:v>
      </x:c>
      <x:c r="D1" s="53" t="str">
        <x:v>Reutiliza</x:v>
      </x:c>
      <x:c r="E1" s="53" t="str">
        <x:v>Añade LeCO</x:v>
      </x:c>
      <x:c r="F1" s="53" t="str">
        <x:v>Resultado</x:v>
      </x:c>
      <x:c r="G1" s="53" t="str">
        <x:v>Fuente</x:v>
      </x:c>
    </x:row>
    <x:row r="2">
      <x:c r="A2" s="14" t="str">
        <x:v>CQ02</x:v>
      </x:c>
      <x:c r="B2" s="14" t="str">
        <x:v>No estaba fijada la relación parte-todo documental.</x:v>
      </x:c>
      <x:c r="C2" s="14" t="str">
        <x:v>Usar rico:hasDirectConstituent / rico:isDirectConstituentOf entre Record/RecordPart.</x:v>
      </x:c>
      <x:c r="D2" s="14" t="str">
        <x:v>RiC-O 1.1</x:v>
      </x:c>
      <x:c r="E2" s="14" t="str">
        <x:v>Nada para parte-todo; se conserva leco:documentsAct.</x:v>
      </x:c>
      <x:c r="F2" s="14" t="str">
        <x:v>Cubierta</x:v>
      </x:c>
      <x:c r="G2" s="14" t="str">
        <x:v>https://www.ica.org/standards/RiC/ontology</x:v>
      </x:c>
    </x:row>
    <x:row r="3">
      <x:c r="A3" s="14" t="str">
        <x:v>CQ06</x:v>
      </x:c>
      <x:c r="B3" s="14" t="str">
        <x:v>El oficio no tenía temporalización explícita.</x:v>
      </x:c>
      <x:c r="C3" s="14" t="str">
        <x:v>Usar rico:PositionHoldingRelation con relationHasSource, relationHasTarget y relationHasDate; holdsOffice queda como shortcut.</x:v>
      </x:c>
      <x:c r="D3" s="14" t="str">
        <x:v>RiC-O 1.1</x:v>
      </x:c>
      <x:c r="E3" s="14" t="str">
        <x:v>Sin duplicar OfficeHolding.</x:v>
      </x:c>
      <x:c r="F3" s="14" t="str">
        <x:v>Cubierta</x:v>
      </x:c>
      <x:c r="G3" s="14" t="str">
        <x:v>https://www.ica.org/standards/RiC/ontology</x:v>
      </x:c>
    </x:row>
    <x:row r="4">
      <x:c r="A4" s="14" t="str">
        <x:v>CQ10</x:v>
      </x:c>
      <x:c r="B4" s="14" t="str">
        <x:v>No había patrón general para actores enfrentados dentro de una misma causa.</x:v>
      </x:c>
      <x:c r="C4" s="14" t="str">
        <x:v>Crear LegalProceeding como contenedor y relacionar nodos Participation mediante opposesParticipation.</x:v>
      </x:c>
      <x:c r="D4" s="14" t="str">
        <x:v>RiC-O hasDirectSubevent/isDirectSubeventOf</x:v>
      </x:c>
      <x:c r="E4" s="14" t="str">
        <x:v>LegalProceeding; hasProceduralAct; inProceeding; opposesParticipation.</x:v>
      </x:c>
      <x:c r="F4" s="14" t="str">
        <x:v>Cubierta</x:v>
      </x:c>
      <x:c r="G4" s="14" t="str">
        <x:v>https://w3id.org/leco/ontology#</x:v>
      </x:c>
    </x:row>
    <x:row r="5">
      <x:c r="A5" s="14" t="str">
        <x:v>CQ17</x:v>
      </x:c>
      <x:c r="B5" s="14" t="str">
        <x:v>No estaba definido el orden entre actos.</x:v>
      </x:c>
      <x:c r="C5" s="14" t="str">
        <x:v>Usar directlyPrecedesInSequence para orden procesal/documental y precedesInTime solo para cronología.</x:v>
      </x:c>
      <x:c r="D5" s="14" t="str">
        <x:v>RiC-O 1.1</x:v>
      </x:c>
      <x:c r="E5" s="14" t="str">
        <x:v>Nada adicional para secuencia.</x:v>
      </x:c>
      <x:c r="F5" s="14" t="str">
        <x:v>Cubierta</x:v>
      </x:c>
      <x:c r="G5" s="14" t="str">
        <x:v>https://www.ica.org/standards/RiC/ontology</x:v>
      </x:c>
    </x:row>
    <x:row r="6">
      <x:c r="A6" s="14" t="str">
        <x:v>CQ24</x:v>
      </x:c>
      <x:c r="B6" s="14" t="str">
        <x:v>Faltaba distinguir creador del documento, emisor de la regla y jurisdicción de aplicación.</x:v>
      </x:c>
      <x:c r="C6" s="14" t="str">
        <x:v>Documento→hasCreator; Regla→issuedBy; Regla→appliesWithinJurisdiction→Jurisdiction.</x:v>
      </x:c>
      <x:c r="D6" s="14" t="str">
        <x:v>RiC-O 1.1</x:v>
      </x:c>
      <x:c r="E6" s="14" t="str">
        <x:v>appliesWithinJurisdiction.</x:v>
      </x:c>
      <x:c r="F6" s="14" t="str">
        <x:v>Cubierta</x:v>
      </x:c>
      <x:c r="G6" s="14" t="str">
        <x:v>https://www.ica.org/standards/RiC/ontology</x:v>
      </x:c>
    </x:row>
    <x:row r="7">
      <x:c r="A7" s="14" t="str">
        <x:v>CQ25</x:v>
      </x:c>
      <x:c r="B7" s="14" t="str">
        <x:v>LegalArgument no podía enlazar explícitamente con la norma usada como fundamento.</x:v>
      </x:c>
      <x:c r="C7" s="14" t="str">
        <x:v>Añadir argumentInvokesRule como subpropiedad de invokesRule.</x:v>
      </x:c>
      <x:c r="D7" s="14" t="str">
        <x:v>RiC-O isAssociatedWithRule vía invokesRule</x:v>
      </x:c>
      <x:c r="E7" s="14" t="str">
        <x:v>argumentInvokesRule.</x:v>
      </x:c>
      <x:c r="F7" s="14" t="str">
        <x:v>Cubierta</x:v>
      </x:c>
      <x:c r="G7" s="14" t="str">
        <x:v>https://w3id.org/leco/ontology#</x:v>
      </x:c>
    </x:row>
    <x:row r="8">
      <x:c r="A8" s="14" t="str">
        <x:v>CQ26</x:v>
      </x:c>
      <x:c r="B8" s="14" t="str">
        <x:v>invokesRule no distinguía citar, aplicar e interpretar.</x:v>
      </x:c>
      <x:c r="C8" s="14" t="str">
        <x:v>Especializar en citesRule, appliesRule e interpretsRule.</x:v>
      </x:c>
      <x:c r="D8" s="14" t="str">
        <x:v>Patrón Rule de RiC-O</x:v>
      </x:c>
      <x:c r="E8" s="14" t="str">
        <x:v>citesRule; appliesRule; interpretsRule.</x:v>
      </x:c>
      <x:c r="F8" s="14" t="str">
        <x:v>Cubierta</x:v>
      </x:c>
      <x:c r="G8" s="14" t="str">
        <x:v>https://w3id.org/leco/ontology#</x:v>
      </x:c>
    </x:row>
    <x:row r="9">
      <x:c r="A9" s="14" t="str">
        <x:v>CQ32</x:v>
      </x:c>
      <x:c r="B9" s="14" t="str">
        <x:v>HistoricalCategoryAssignment dependía del documento para reconstruir contexto.</x:v>
      </x:c>
      <x:c r="C9" s="14" t="str">
        <x:v>Añadir jurisdicción, tiempo y acto directamente a la asignación categorial.</x:v>
      </x:c>
      <x:c r="D9" s="14" t="str">
        <x:v>OWL-Time para temporalidad</x:v>
      </x:c>
      <x:c r="E9" s="14" t="str">
        <x:v>categoryAssignmentJurisdiction; categoryAssignmentTime; categoryAssignmentInAct.</x:v>
      </x:c>
      <x:c r="F9" s="14" t="str">
        <x:v>Cubierta</x:v>
      </x:c>
      <x:c r="G9" s="14" t="str">
        <x:v>https://w3id.org/leco/ontology#</x:v>
      </x:c>
    </x:row>
    <x:row r="10">
      <x:c r="A10" s="14" t="str">
        <x:v>CQ34</x:v>
      </x:c>
      <x:c r="B10" s="14" t="str">
        <x:v>No se distinguía formalmente evidencia explícita de inferencia.</x:v>
      </x:c>
      <x:c r="C10" s="14" t="str">
        <x:v>Crear AnnotationBasis y conceptos SKOS de base de anotación.</x:v>
      </x:c>
      <x:c r="D10" s="14" t="str">
        <x:v>SKOS; PROV-O para procedencia</x:v>
      </x:c>
      <x:c r="E10" s="14" t="str">
        <x:v>AnnotationBasis; annotationBasis + vocabulario inicial.</x:v>
      </x:c>
      <x:c r="F10" s="14" t="str">
        <x:v>Cubierta</x:v>
      </x:c>
      <x:c r="G10" s="14" t="str">
        <x:v>https://w3id.org/leco/ontology#</x:v>
      </x:c>
    </x:row>
  </x:sheetData>
  <x:pageMargins left="0.7" right="0.7" top="0.75" bottom="0.75" header="0.3" footer="0.3"/>
</x:worksheet>
</file>